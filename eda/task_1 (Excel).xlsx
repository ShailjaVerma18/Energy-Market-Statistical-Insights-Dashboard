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il\OneDrive\Documents\"/>
    </mc:Choice>
  </mc:AlternateContent>
  <bookViews>
    <workbookView xWindow="0" yWindow="0" windowWidth="23040" windowHeight="10332" activeTab="1"/>
  </bookViews>
  <sheets>
    <sheet name="cleaned_data" sheetId="1" r:id="rId1"/>
    <sheet name="eda_summary" sheetId="2" r:id="rId2"/>
  </sheets>
  <calcPr calcId="162913"/>
</workbook>
</file>

<file path=xl/calcChain.xml><?xml version="1.0" encoding="utf-8"?>
<calcChain xmlns="http://schemas.openxmlformats.org/spreadsheetml/2006/main">
  <c r="C9" i="2" l="1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B9" i="2"/>
  <c r="B8" i="2"/>
  <c r="B7" i="2"/>
  <c r="B6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B5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B4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B3" i="2"/>
</calcChain>
</file>

<file path=xl/sharedStrings.xml><?xml version="1.0" encoding="utf-8"?>
<sst xmlns="http://schemas.openxmlformats.org/spreadsheetml/2006/main" count="46" uniqueCount="28">
  <si>
    <t>Date</t>
  </si>
  <si>
    <t>Coal_RB_4800_FOB_London_Close_USD</t>
  </si>
  <si>
    <t>Coal_RB_5500_FOB_London_Close_USD</t>
  </si>
  <si>
    <t>Coal_RB_5700_FOB_London_Close_USD</t>
  </si>
  <si>
    <t>Coal_RB_6000_FOB_CurrentWeek_Avg_USD</t>
  </si>
  <si>
    <t>Coal_India_5500_CFR_London_Close_USD</t>
  </si>
  <si>
    <t>Price_WTI</t>
  </si>
  <si>
    <t>Price_Brent_Oil</t>
  </si>
  <si>
    <t>Price_Dubai_Brent_Oil</t>
  </si>
  <si>
    <t>Price_ExxonMobil</t>
  </si>
  <si>
    <t>Price_Shenhua</t>
  </si>
  <si>
    <t>Price_All_Share</t>
  </si>
  <si>
    <t>Price_Mining</t>
  </si>
  <si>
    <t>Price_LNG_Japan_Korea_Marker_PLATTS</t>
  </si>
  <si>
    <t>Price_ZAR_USD</t>
  </si>
  <si>
    <t>Price_Natural_Gas</t>
  </si>
  <si>
    <t>Price_ICE</t>
  </si>
  <si>
    <t>Price_Dutch_TTF</t>
  </si>
  <si>
    <t>Price_Indian_en_exg_rate</t>
  </si>
  <si>
    <t xml:space="preserve">Exploratory Data Analysis Summary
</t>
  </si>
  <si>
    <t>Measure</t>
  </si>
  <si>
    <t>Mean</t>
  </si>
  <si>
    <t>Median</t>
  </si>
  <si>
    <t>Mode</t>
  </si>
  <si>
    <t>Variance</t>
  </si>
  <si>
    <t>Skewness</t>
  </si>
  <si>
    <t>Kurtosis</t>
  </si>
  <si>
    <t>Standard Derivation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</si>
</sst>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08"/>
  <sheetViews>
    <sheetView workbookViewId="0">
      <selection activeCell="B1" sqref="B1:T1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43923</v>
      </c>
      <c r="B2">
        <v>41</v>
      </c>
      <c r="C2">
        <v>53.22</v>
      </c>
      <c r="D2">
        <v>64.7</v>
      </c>
      <c r="E2">
        <v>97.56</v>
      </c>
      <c r="F2">
        <v>60.5</v>
      </c>
      <c r="G2">
        <v>25.32</v>
      </c>
      <c r="H2">
        <v>29.94</v>
      </c>
      <c r="I2">
        <v>26.16</v>
      </c>
      <c r="J2">
        <v>40.4</v>
      </c>
      <c r="K2">
        <v>14.58</v>
      </c>
      <c r="L2">
        <v>45060.69</v>
      </c>
      <c r="M2">
        <v>35562.370000000003</v>
      </c>
      <c r="N2">
        <v>2.86</v>
      </c>
      <c r="O2">
        <v>5.4109999999999998E-2</v>
      </c>
      <c r="P2">
        <v>1.552</v>
      </c>
      <c r="Q2">
        <v>81.14</v>
      </c>
      <c r="R2">
        <v>6.9349999999999996</v>
      </c>
      <c r="S2">
        <v>141.61602674307539</v>
      </c>
    </row>
    <row r="3" spans="1:19" x14ac:dyDescent="0.3">
      <c r="A3" s="2">
        <v>43924</v>
      </c>
      <c r="B3">
        <v>40.340000000000003</v>
      </c>
      <c r="C3">
        <v>52.36</v>
      </c>
      <c r="D3">
        <v>63.1</v>
      </c>
      <c r="E3">
        <v>70.569999999999993</v>
      </c>
      <c r="F3">
        <v>62.03</v>
      </c>
      <c r="G3">
        <v>28.34</v>
      </c>
      <c r="H3">
        <v>34.11</v>
      </c>
      <c r="I3">
        <v>29.39</v>
      </c>
      <c r="J3">
        <v>39.21</v>
      </c>
      <c r="K3">
        <v>14.14</v>
      </c>
      <c r="L3">
        <v>44598.7</v>
      </c>
      <c r="M3">
        <v>35258.300000000003</v>
      </c>
      <c r="N3">
        <v>2.8450000000000002</v>
      </c>
      <c r="O3">
        <v>5.2449999999999997E-2</v>
      </c>
      <c r="P3">
        <v>1.621</v>
      </c>
      <c r="Q3">
        <v>80.989999999999995</v>
      </c>
      <c r="R3">
        <v>6.92</v>
      </c>
      <c r="S3">
        <v>45.02</v>
      </c>
    </row>
    <row r="4" spans="1:19" x14ac:dyDescent="0.3">
      <c r="A4" s="2">
        <v>43927</v>
      </c>
      <c r="B4">
        <v>40.340000000000003</v>
      </c>
      <c r="C4">
        <v>52.36</v>
      </c>
      <c r="D4">
        <v>63.1</v>
      </c>
      <c r="E4">
        <v>70.569999999999993</v>
      </c>
      <c r="F4">
        <v>62.03</v>
      </c>
      <c r="G4">
        <v>26.08</v>
      </c>
      <c r="H4">
        <v>33.049999999999997</v>
      </c>
      <c r="I4">
        <v>27.45</v>
      </c>
      <c r="J4">
        <v>40.47</v>
      </c>
      <c r="K4">
        <v>14.26</v>
      </c>
      <c r="L4">
        <v>46240.35</v>
      </c>
      <c r="M4">
        <v>37032.31</v>
      </c>
      <c r="N4">
        <v>2.85</v>
      </c>
      <c r="O4">
        <v>5.3510000000000002E-2</v>
      </c>
      <c r="P4">
        <v>1.7310000000000001</v>
      </c>
      <c r="Q4">
        <v>84.43</v>
      </c>
      <c r="R4">
        <v>7.2850000000000001</v>
      </c>
      <c r="S4">
        <v>141.61602674307539</v>
      </c>
    </row>
    <row r="5" spans="1:19" x14ac:dyDescent="0.3">
      <c r="A5" s="2">
        <v>43928</v>
      </c>
      <c r="B5">
        <v>40.340000000000003</v>
      </c>
      <c r="C5">
        <v>52.36</v>
      </c>
      <c r="D5">
        <v>63.1</v>
      </c>
      <c r="E5">
        <v>70.569999999999993</v>
      </c>
      <c r="F5">
        <v>62.03</v>
      </c>
      <c r="G5">
        <v>23.63</v>
      </c>
      <c r="H5">
        <v>31.87</v>
      </c>
      <c r="I5">
        <v>26</v>
      </c>
      <c r="J5">
        <v>41.24</v>
      </c>
      <c r="K5">
        <v>14.46</v>
      </c>
      <c r="L5">
        <v>47496.72</v>
      </c>
      <c r="M5">
        <v>38362.120000000003</v>
      </c>
      <c r="N5">
        <v>2.8050000000000002</v>
      </c>
      <c r="O5">
        <v>5.457E-2</v>
      </c>
      <c r="P5">
        <v>1.8520000000000001</v>
      </c>
      <c r="Q5">
        <v>82.3</v>
      </c>
      <c r="R5">
        <v>7.2850000000000001</v>
      </c>
      <c r="S5">
        <v>48.32</v>
      </c>
    </row>
    <row r="6" spans="1:19" x14ac:dyDescent="0.3">
      <c r="A6" s="2">
        <v>43929</v>
      </c>
      <c r="B6">
        <v>40.340000000000003</v>
      </c>
      <c r="C6">
        <v>52.36</v>
      </c>
      <c r="D6">
        <v>63.1</v>
      </c>
      <c r="E6">
        <v>70.569999999999993</v>
      </c>
      <c r="F6">
        <v>62.03</v>
      </c>
      <c r="G6">
        <v>25.09</v>
      </c>
      <c r="H6">
        <v>32.840000000000003</v>
      </c>
      <c r="I6">
        <v>26.16</v>
      </c>
      <c r="J6">
        <v>43.85</v>
      </c>
      <c r="K6">
        <v>14.24</v>
      </c>
      <c r="L6">
        <v>46689.9</v>
      </c>
      <c r="M6">
        <v>37469.17</v>
      </c>
      <c r="N6">
        <v>2.81</v>
      </c>
      <c r="O6">
        <v>5.493E-2</v>
      </c>
      <c r="P6">
        <v>1.7829999999999999</v>
      </c>
      <c r="Q6">
        <v>85.34</v>
      </c>
      <c r="R6">
        <v>7.26</v>
      </c>
      <c r="S6">
        <v>45.75</v>
      </c>
    </row>
    <row r="7" spans="1:19" x14ac:dyDescent="0.3">
      <c r="A7" s="2">
        <v>43930</v>
      </c>
      <c r="B7">
        <v>33.82</v>
      </c>
      <c r="C7">
        <v>43.58</v>
      </c>
      <c r="D7">
        <v>54.81</v>
      </c>
      <c r="E7">
        <v>59.57</v>
      </c>
      <c r="F7">
        <v>54.74</v>
      </c>
      <c r="G7">
        <v>22.76</v>
      </c>
      <c r="H7">
        <v>31.48</v>
      </c>
      <c r="I7">
        <v>23.26</v>
      </c>
      <c r="J7">
        <v>43.13</v>
      </c>
      <c r="K7">
        <v>14.16</v>
      </c>
      <c r="L7">
        <v>48011.56</v>
      </c>
      <c r="M7">
        <v>38905.32</v>
      </c>
      <c r="N7">
        <v>2.8050000000000002</v>
      </c>
      <c r="O7">
        <v>5.5440000000000003E-2</v>
      </c>
      <c r="P7">
        <v>1.7330000000000001</v>
      </c>
      <c r="Q7">
        <v>87.38</v>
      </c>
      <c r="R7">
        <v>7.28</v>
      </c>
      <c r="S7">
        <v>48.33</v>
      </c>
    </row>
    <row r="8" spans="1:19" x14ac:dyDescent="0.3">
      <c r="A8" s="2">
        <v>43931</v>
      </c>
      <c r="B8">
        <v>87.953183520599239</v>
      </c>
      <c r="C8">
        <v>113.3531554307116</v>
      </c>
      <c r="D8">
        <v>134.97180711610491</v>
      </c>
      <c r="E8">
        <v>144.35149446494461</v>
      </c>
      <c r="F8">
        <v>123.75970973782771</v>
      </c>
      <c r="G8">
        <v>72.345468607825296</v>
      </c>
      <c r="H8">
        <v>76.283020072992699</v>
      </c>
      <c r="I8">
        <v>74.752492970946577</v>
      </c>
      <c r="J8">
        <v>80.871012183692585</v>
      </c>
      <c r="K8">
        <v>21.274702495201531</v>
      </c>
      <c r="L8">
        <v>68736.904810964072</v>
      </c>
      <c r="M8">
        <v>52972.178374291107</v>
      </c>
      <c r="N8">
        <v>17.62252908067542</v>
      </c>
      <c r="O8">
        <v>5.561E-2</v>
      </c>
      <c r="P8">
        <v>3.697999090081892</v>
      </c>
      <c r="Q8">
        <v>112.7561105904405</v>
      </c>
      <c r="R8">
        <v>57.384855947955387</v>
      </c>
      <c r="S8">
        <v>141.61602674307539</v>
      </c>
    </row>
    <row r="9" spans="1:19" x14ac:dyDescent="0.3">
      <c r="A9" s="2">
        <v>43934</v>
      </c>
      <c r="B9">
        <v>87.953183520599239</v>
      </c>
      <c r="C9">
        <v>113.3531554307116</v>
      </c>
      <c r="D9">
        <v>134.97180711610491</v>
      </c>
      <c r="E9">
        <v>59.57</v>
      </c>
      <c r="F9">
        <v>123.75970973782771</v>
      </c>
      <c r="G9">
        <v>22.41</v>
      </c>
      <c r="H9">
        <v>31.74</v>
      </c>
      <c r="I9">
        <v>24.74</v>
      </c>
      <c r="J9">
        <v>42.76</v>
      </c>
      <c r="K9">
        <v>21.274702495201531</v>
      </c>
      <c r="L9">
        <v>68736.904810964072</v>
      </c>
      <c r="M9">
        <v>52972.178374291107</v>
      </c>
      <c r="N9">
        <v>2.8050000000000002</v>
      </c>
      <c r="O9">
        <v>5.5160000000000001E-2</v>
      </c>
      <c r="P9">
        <v>1.724</v>
      </c>
      <c r="Q9">
        <v>85.18</v>
      </c>
      <c r="R9">
        <v>7.28</v>
      </c>
      <c r="S9">
        <v>47.75</v>
      </c>
    </row>
    <row r="10" spans="1:19" x14ac:dyDescent="0.3">
      <c r="A10" s="2">
        <v>43935</v>
      </c>
      <c r="B10">
        <v>33.82</v>
      </c>
      <c r="C10">
        <v>43.58</v>
      </c>
      <c r="D10">
        <v>54.81</v>
      </c>
      <c r="E10">
        <v>59.57</v>
      </c>
      <c r="F10">
        <v>54.74</v>
      </c>
      <c r="G10">
        <v>20.11</v>
      </c>
      <c r="H10">
        <v>29.6</v>
      </c>
      <c r="I10">
        <v>21.96</v>
      </c>
      <c r="J10">
        <v>42.43</v>
      </c>
      <c r="K10">
        <v>14.36</v>
      </c>
      <c r="L10">
        <v>49874.51</v>
      </c>
      <c r="M10">
        <v>41941.82</v>
      </c>
      <c r="N10">
        <v>2.8</v>
      </c>
      <c r="O10">
        <v>5.4539999999999998E-2</v>
      </c>
      <c r="P10">
        <v>1.65</v>
      </c>
      <c r="Q10">
        <v>87</v>
      </c>
      <c r="R10">
        <v>6.875</v>
      </c>
      <c r="S10">
        <v>141.61602674307539</v>
      </c>
    </row>
    <row r="11" spans="1:19" x14ac:dyDescent="0.3">
      <c r="A11" s="2">
        <v>43936</v>
      </c>
      <c r="B11">
        <v>33.82</v>
      </c>
      <c r="C11">
        <v>43.58</v>
      </c>
      <c r="D11">
        <v>54.81</v>
      </c>
      <c r="E11">
        <v>59.57</v>
      </c>
      <c r="F11">
        <v>54.74</v>
      </c>
      <c r="G11">
        <v>19.87</v>
      </c>
      <c r="H11">
        <v>27.69</v>
      </c>
      <c r="I11">
        <v>21.46</v>
      </c>
      <c r="J11">
        <v>40.479999999999997</v>
      </c>
      <c r="K11">
        <v>14.12</v>
      </c>
      <c r="L11">
        <v>48301.279999999999</v>
      </c>
      <c r="M11">
        <v>40023.440000000002</v>
      </c>
      <c r="N11">
        <v>2.7949999999999999</v>
      </c>
      <c r="O11">
        <v>5.3429999999999998E-2</v>
      </c>
      <c r="P11">
        <v>1.5980000000000001</v>
      </c>
      <c r="Q11">
        <v>86.25</v>
      </c>
      <c r="R11">
        <v>6.65</v>
      </c>
      <c r="S11">
        <v>49.25</v>
      </c>
    </row>
    <row r="12" spans="1:19" x14ac:dyDescent="0.3">
      <c r="A12" s="2">
        <v>43937</v>
      </c>
      <c r="B12">
        <v>33.82</v>
      </c>
      <c r="C12">
        <v>43.58</v>
      </c>
      <c r="D12">
        <v>54.81</v>
      </c>
      <c r="E12">
        <v>59.57</v>
      </c>
      <c r="F12">
        <v>54.74</v>
      </c>
      <c r="G12">
        <v>19.87</v>
      </c>
      <c r="H12">
        <v>27.82</v>
      </c>
      <c r="I12">
        <v>21.71</v>
      </c>
      <c r="J12">
        <v>39.15</v>
      </c>
      <c r="K12">
        <v>14.12</v>
      </c>
      <c r="L12">
        <v>48245.11</v>
      </c>
      <c r="M12">
        <v>39594</v>
      </c>
      <c r="N12">
        <v>2.4700000000000002</v>
      </c>
      <c r="O12">
        <v>5.2929999999999998E-2</v>
      </c>
      <c r="P12">
        <v>1.6859999999999999</v>
      </c>
      <c r="Q12">
        <v>88.1</v>
      </c>
      <c r="R12">
        <v>6.9050000000000002</v>
      </c>
      <c r="S12">
        <v>50.93</v>
      </c>
    </row>
    <row r="13" spans="1:19" x14ac:dyDescent="0.3">
      <c r="A13" s="2">
        <v>43938</v>
      </c>
      <c r="B13">
        <v>31.49</v>
      </c>
      <c r="C13">
        <v>38.44</v>
      </c>
      <c r="D13">
        <v>51.1</v>
      </c>
      <c r="E13">
        <v>51.7</v>
      </c>
      <c r="F13">
        <v>48.89</v>
      </c>
      <c r="G13">
        <v>18.27</v>
      </c>
      <c r="H13">
        <v>28.08</v>
      </c>
      <c r="I13">
        <v>22.23</v>
      </c>
      <c r="J13">
        <v>43.22</v>
      </c>
      <c r="K13">
        <v>14.24</v>
      </c>
      <c r="L13">
        <v>49134.65</v>
      </c>
      <c r="M13">
        <v>40768.620000000003</v>
      </c>
      <c r="N13">
        <v>2.3450000000000002</v>
      </c>
      <c r="O13">
        <v>5.3179999999999998E-2</v>
      </c>
      <c r="P13">
        <v>1.7529999999999999</v>
      </c>
      <c r="Q13">
        <v>90.4</v>
      </c>
      <c r="R13">
        <v>6.9950000000000001</v>
      </c>
      <c r="S13">
        <v>51.75</v>
      </c>
    </row>
    <row r="14" spans="1:19" x14ac:dyDescent="0.3">
      <c r="A14" s="2">
        <v>43941</v>
      </c>
      <c r="B14">
        <v>31.49</v>
      </c>
      <c r="C14">
        <v>38.44</v>
      </c>
      <c r="D14">
        <v>51.1</v>
      </c>
      <c r="E14">
        <v>51.7</v>
      </c>
      <c r="F14">
        <v>48.89</v>
      </c>
      <c r="G14">
        <v>-37.630000000000003</v>
      </c>
      <c r="H14">
        <v>25.57</v>
      </c>
      <c r="I14">
        <v>21.47</v>
      </c>
      <c r="J14">
        <v>41.18</v>
      </c>
      <c r="K14">
        <v>14.08</v>
      </c>
      <c r="L14">
        <v>48849.52</v>
      </c>
      <c r="M14">
        <v>40688.449999999997</v>
      </c>
      <c r="N14">
        <v>2.27</v>
      </c>
      <c r="O14">
        <v>5.2999999999999999E-2</v>
      </c>
      <c r="P14">
        <v>1.9239999999999999</v>
      </c>
      <c r="Q14">
        <v>89.4</v>
      </c>
      <c r="R14">
        <v>6.62</v>
      </c>
      <c r="S14">
        <v>54.25</v>
      </c>
    </row>
    <row r="15" spans="1:19" x14ac:dyDescent="0.3">
      <c r="A15" s="2">
        <v>43942</v>
      </c>
      <c r="B15">
        <v>31.49</v>
      </c>
      <c r="C15">
        <v>38.44</v>
      </c>
      <c r="D15">
        <v>51.1</v>
      </c>
      <c r="E15">
        <v>51.7</v>
      </c>
      <c r="F15">
        <v>48.89</v>
      </c>
      <c r="G15">
        <v>10.01</v>
      </c>
      <c r="H15">
        <v>19.329999999999998</v>
      </c>
      <c r="I15">
        <v>19.07</v>
      </c>
      <c r="J15">
        <v>40.96</v>
      </c>
      <c r="K15">
        <v>13.84</v>
      </c>
      <c r="L15">
        <v>47628.87</v>
      </c>
      <c r="M15">
        <v>38702.92</v>
      </c>
      <c r="N15">
        <v>2.105</v>
      </c>
      <c r="O15">
        <v>5.2659999999999998E-2</v>
      </c>
      <c r="P15">
        <v>1.821</v>
      </c>
      <c r="Q15">
        <v>87.53</v>
      </c>
      <c r="R15">
        <v>6.3150000000000004</v>
      </c>
      <c r="S15">
        <v>51.82</v>
      </c>
    </row>
    <row r="16" spans="1:19" x14ac:dyDescent="0.3">
      <c r="A16" s="2">
        <v>43943</v>
      </c>
      <c r="B16">
        <v>31.49</v>
      </c>
      <c r="C16">
        <v>38.44</v>
      </c>
      <c r="D16">
        <v>51.1</v>
      </c>
      <c r="E16">
        <v>51.7</v>
      </c>
      <c r="F16">
        <v>48.89</v>
      </c>
      <c r="G16">
        <v>13.78</v>
      </c>
      <c r="H16">
        <v>20.37</v>
      </c>
      <c r="I16">
        <v>20</v>
      </c>
      <c r="J16">
        <v>42.13</v>
      </c>
      <c r="K16">
        <v>13.66</v>
      </c>
      <c r="L16">
        <v>48108.49</v>
      </c>
      <c r="M16">
        <v>39991.74</v>
      </c>
      <c r="N16">
        <v>2.0750000000000002</v>
      </c>
      <c r="O16">
        <v>5.2549999999999999E-2</v>
      </c>
      <c r="P16">
        <v>1.9390000000000001</v>
      </c>
      <c r="Q16">
        <v>89.19</v>
      </c>
      <c r="R16">
        <v>6.2249999999999996</v>
      </c>
      <c r="S16">
        <v>52.03</v>
      </c>
    </row>
    <row r="17" spans="1:19" x14ac:dyDescent="0.3">
      <c r="A17" s="2">
        <v>43944</v>
      </c>
      <c r="B17">
        <v>31.49</v>
      </c>
      <c r="C17">
        <v>38.44</v>
      </c>
      <c r="D17">
        <v>51.1</v>
      </c>
      <c r="E17">
        <v>51.7</v>
      </c>
      <c r="F17">
        <v>48.89</v>
      </c>
      <c r="G17">
        <v>16.5</v>
      </c>
      <c r="H17">
        <v>21.33</v>
      </c>
      <c r="I17">
        <v>20.45</v>
      </c>
      <c r="J17">
        <v>43.45</v>
      </c>
      <c r="K17">
        <v>13.7</v>
      </c>
      <c r="L17">
        <v>49601.82</v>
      </c>
      <c r="M17">
        <v>42588.88</v>
      </c>
      <c r="N17">
        <v>2.0499999999999998</v>
      </c>
      <c r="O17">
        <v>5.2389999999999999E-2</v>
      </c>
      <c r="P17">
        <v>1.8149999999999999</v>
      </c>
      <c r="Q17">
        <v>88.5</v>
      </c>
      <c r="R17">
        <v>6.0549999999999997</v>
      </c>
      <c r="S17">
        <v>52.32</v>
      </c>
    </row>
    <row r="18" spans="1:19" x14ac:dyDescent="0.3">
      <c r="A18" s="2">
        <v>43945</v>
      </c>
      <c r="B18">
        <v>26.75</v>
      </c>
      <c r="C18">
        <v>34.56</v>
      </c>
      <c r="D18">
        <v>44.69</v>
      </c>
      <c r="E18">
        <v>44.53</v>
      </c>
      <c r="F18">
        <v>41.81</v>
      </c>
      <c r="G18">
        <v>16.940000000000001</v>
      </c>
      <c r="H18">
        <v>21.44</v>
      </c>
      <c r="I18">
        <v>20.45</v>
      </c>
      <c r="J18">
        <v>43.73</v>
      </c>
      <c r="K18">
        <v>13.64</v>
      </c>
      <c r="L18">
        <v>49527.23</v>
      </c>
      <c r="M18">
        <v>42857.87</v>
      </c>
      <c r="N18">
        <v>2.0249999999999999</v>
      </c>
      <c r="O18">
        <v>5.2540000000000003E-2</v>
      </c>
      <c r="P18">
        <v>1.746</v>
      </c>
      <c r="Q18">
        <v>88.92</v>
      </c>
      <c r="R18">
        <v>5.77</v>
      </c>
      <c r="S18">
        <v>52.1</v>
      </c>
    </row>
    <row r="19" spans="1:19" x14ac:dyDescent="0.3">
      <c r="A19" s="2">
        <v>43948</v>
      </c>
      <c r="B19">
        <v>26.75</v>
      </c>
      <c r="C19">
        <v>34.56</v>
      </c>
      <c r="D19">
        <v>44.69</v>
      </c>
      <c r="E19">
        <v>44.53</v>
      </c>
      <c r="F19">
        <v>41.81</v>
      </c>
      <c r="G19">
        <v>12.78</v>
      </c>
      <c r="H19">
        <v>19.989999999999998</v>
      </c>
      <c r="I19">
        <v>20.37</v>
      </c>
      <c r="J19">
        <v>43.94</v>
      </c>
      <c r="K19">
        <v>13.8</v>
      </c>
      <c r="L19">
        <v>68736.904810964072</v>
      </c>
      <c r="M19">
        <v>52972.178374291107</v>
      </c>
      <c r="N19">
        <v>1.9950000000000001</v>
      </c>
      <c r="O19">
        <v>5.3199999999999997E-2</v>
      </c>
      <c r="P19">
        <v>1.819</v>
      </c>
      <c r="Q19">
        <v>92.35</v>
      </c>
      <c r="R19">
        <v>5.94</v>
      </c>
      <c r="S19">
        <v>51.93</v>
      </c>
    </row>
    <row r="20" spans="1:19" x14ac:dyDescent="0.3">
      <c r="A20" s="2">
        <v>43949</v>
      </c>
      <c r="B20">
        <v>26.75</v>
      </c>
      <c r="C20">
        <v>34.56</v>
      </c>
      <c r="D20">
        <v>44.69</v>
      </c>
      <c r="E20">
        <v>44.53</v>
      </c>
      <c r="F20">
        <v>41.81</v>
      </c>
      <c r="G20">
        <v>12.34</v>
      </c>
      <c r="H20">
        <v>20.46</v>
      </c>
      <c r="I20">
        <v>20.41</v>
      </c>
      <c r="J20">
        <v>44.97</v>
      </c>
      <c r="K20">
        <v>13.94</v>
      </c>
      <c r="L20">
        <v>50029.22</v>
      </c>
      <c r="M20">
        <v>41940.99</v>
      </c>
      <c r="N20">
        <v>2</v>
      </c>
      <c r="O20">
        <v>5.3519999999999998E-2</v>
      </c>
      <c r="P20">
        <v>1.794</v>
      </c>
      <c r="Q20">
        <v>90.29</v>
      </c>
      <c r="R20">
        <v>6.1449999999999996</v>
      </c>
      <c r="S20">
        <v>52.07</v>
      </c>
    </row>
    <row r="21" spans="1:19" x14ac:dyDescent="0.3">
      <c r="A21" s="2">
        <v>43950</v>
      </c>
      <c r="B21">
        <v>26.75</v>
      </c>
      <c r="C21">
        <v>34.56</v>
      </c>
      <c r="D21">
        <v>44.69</v>
      </c>
      <c r="E21">
        <v>44.53</v>
      </c>
      <c r="F21">
        <v>41.81</v>
      </c>
      <c r="G21">
        <v>15.06</v>
      </c>
      <c r="H21">
        <v>22.54</v>
      </c>
      <c r="I21">
        <v>20.38</v>
      </c>
      <c r="J21">
        <v>47.46</v>
      </c>
      <c r="K21">
        <v>13.86</v>
      </c>
      <c r="L21">
        <v>50857.25</v>
      </c>
      <c r="M21">
        <v>43399.68</v>
      </c>
      <c r="N21">
        <v>2</v>
      </c>
      <c r="O21">
        <v>5.5059999999999998E-2</v>
      </c>
      <c r="P21">
        <v>1.869</v>
      </c>
      <c r="Q21">
        <v>90.7</v>
      </c>
      <c r="R21">
        <v>6.0149999999999997</v>
      </c>
      <c r="S21">
        <v>51.93</v>
      </c>
    </row>
    <row r="22" spans="1:19" x14ac:dyDescent="0.3">
      <c r="A22" s="2">
        <v>43951</v>
      </c>
      <c r="B22">
        <v>26.75</v>
      </c>
      <c r="C22">
        <v>34.56</v>
      </c>
      <c r="D22">
        <v>44.69</v>
      </c>
      <c r="E22">
        <v>44.53</v>
      </c>
      <c r="F22">
        <v>41.81</v>
      </c>
      <c r="G22">
        <v>18.84</v>
      </c>
      <c r="H22">
        <v>25.27</v>
      </c>
      <c r="I22">
        <v>20.39</v>
      </c>
      <c r="J22">
        <v>46.47</v>
      </c>
      <c r="K22">
        <v>21.274702495201531</v>
      </c>
      <c r="L22">
        <v>50336.72</v>
      </c>
      <c r="M22">
        <v>42395.73</v>
      </c>
      <c r="N22">
        <v>2.0049999999999999</v>
      </c>
      <c r="O22">
        <v>5.3929999999999999E-2</v>
      </c>
      <c r="P22">
        <v>1.9490000000000001</v>
      </c>
      <c r="Q22">
        <v>89.45</v>
      </c>
      <c r="R22">
        <v>6.22</v>
      </c>
      <c r="S22">
        <v>49.97</v>
      </c>
    </row>
    <row r="23" spans="1:19" x14ac:dyDescent="0.3">
      <c r="A23" s="2">
        <v>43952</v>
      </c>
      <c r="B23">
        <v>30</v>
      </c>
      <c r="C23">
        <v>37.97</v>
      </c>
      <c r="D23">
        <v>47.89</v>
      </c>
      <c r="E23">
        <v>49.47</v>
      </c>
      <c r="F23">
        <v>42.99</v>
      </c>
      <c r="G23">
        <v>19.78</v>
      </c>
      <c r="H23">
        <v>26.44</v>
      </c>
      <c r="I23">
        <v>25.3</v>
      </c>
      <c r="J23">
        <v>43.14</v>
      </c>
      <c r="K23">
        <v>21.274702495201531</v>
      </c>
      <c r="L23">
        <v>68736.904810964072</v>
      </c>
      <c r="M23">
        <v>52972.178374291107</v>
      </c>
      <c r="N23">
        <v>2</v>
      </c>
      <c r="O23">
        <v>5.3120000000000001E-2</v>
      </c>
      <c r="P23">
        <v>1.89</v>
      </c>
      <c r="Q23">
        <v>88.67</v>
      </c>
      <c r="R23">
        <v>5.8449999999999998</v>
      </c>
      <c r="S23">
        <v>141.61602674307539</v>
      </c>
    </row>
    <row r="24" spans="1:19" x14ac:dyDescent="0.3">
      <c r="A24" s="2">
        <v>43955</v>
      </c>
      <c r="B24">
        <v>30</v>
      </c>
      <c r="C24">
        <v>37.97</v>
      </c>
      <c r="D24">
        <v>47.89</v>
      </c>
      <c r="E24">
        <v>49.47</v>
      </c>
      <c r="F24">
        <v>42.99</v>
      </c>
      <c r="G24">
        <v>20.39</v>
      </c>
      <c r="H24">
        <v>27.2</v>
      </c>
      <c r="I24">
        <v>26.2</v>
      </c>
      <c r="J24">
        <v>44.88</v>
      </c>
      <c r="K24">
        <v>13.12</v>
      </c>
      <c r="L24">
        <v>49186.59</v>
      </c>
      <c r="M24">
        <v>41596.42</v>
      </c>
      <c r="N24">
        <v>2</v>
      </c>
      <c r="O24">
        <v>5.3740000000000003E-2</v>
      </c>
      <c r="P24">
        <v>1.9930000000000001</v>
      </c>
      <c r="Q24">
        <v>89.67</v>
      </c>
      <c r="R24">
        <v>5.74</v>
      </c>
      <c r="S24">
        <v>48.18</v>
      </c>
    </row>
    <row r="25" spans="1:19" x14ac:dyDescent="0.3">
      <c r="A25" s="2">
        <v>43956</v>
      </c>
      <c r="B25">
        <v>30</v>
      </c>
      <c r="C25">
        <v>37.97</v>
      </c>
      <c r="D25">
        <v>47.89</v>
      </c>
      <c r="E25">
        <v>49.47</v>
      </c>
      <c r="F25">
        <v>42.99</v>
      </c>
      <c r="G25">
        <v>24.56</v>
      </c>
      <c r="H25">
        <v>30.97</v>
      </c>
      <c r="I25">
        <v>28.94</v>
      </c>
      <c r="J25">
        <v>44.83</v>
      </c>
      <c r="K25">
        <v>13.2</v>
      </c>
      <c r="L25">
        <v>49184.160000000003</v>
      </c>
      <c r="M25">
        <v>40974.9</v>
      </c>
      <c r="N25">
        <v>2.02</v>
      </c>
      <c r="O25">
        <v>5.3969999999999997E-2</v>
      </c>
      <c r="P25">
        <v>2.1339999999999999</v>
      </c>
      <c r="Q25">
        <v>92.97</v>
      </c>
      <c r="R25">
        <v>5.6749999999999998</v>
      </c>
      <c r="S25">
        <v>47.25</v>
      </c>
    </row>
    <row r="26" spans="1:19" x14ac:dyDescent="0.3">
      <c r="A26" s="2">
        <v>43957</v>
      </c>
      <c r="B26">
        <v>30</v>
      </c>
      <c r="C26">
        <v>37.97</v>
      </c>
      <c r="D26">
        <v>47.89</v>
      </c>
      <c r="E26">
        <v>49.47</v>
      </c>
      <c r="F26">
        <v>42.99</v>
      </c>
      <c r="G26">
        <v>23.99</v>
      </c>
      <c r="H26">
        <v>29.72</v>
      </c>
      <c r="I26">
        <v>27.35</v>
      </c>
      <c r="J26">
        <v>43.99</v>
      </c>
      <c r="K26">
        <v>13.5</v>
      </c>
      <c r="L26">
        <v>49831.99</v>
      </c>
      <c r="M26">
        <v>42138.64</v>
      </c>
      <c r="N26">
        <v>2.02</v>
      </c>
      <c r="O26">
        <v>5.3319999999999999E-2</v>
      </c>
      <c r="P26">
        <v>1.944</v>
      </c>
      <c r="Q26">
        <v>91.74</v>
      </c>
      <c r="R26">
        <v>5.7649999999999997</v>
      </c>
      <c r="S26">
        <v>48.65</v>
      </c>
    </row>
    <row r="27" spans="1:19" x14ac:dyDescent="0.3">
      <c r="A27" s="2">
        <v>43958</v>
      </c>
      <c r="B27">
        <v>31.61</v>
      </c>
      <c r="C27">
        <v>40.68</v>
      </c>
      <c r="D27">
        <v>50.66</v>
      </c>
      <c r="E27">
        <v>51.91</v>
      </c>
      <c r="F27">
        <v>45.77</v>
      </c>
      <c r="G27">
        <v>23.55</v>
      </c>
      <c r="H27">
        <v>29.46</v>
      </c>
      <c r="I27">
        <v>27.14</v>
      </c>
      <c r="J27">
        <v>44.24</v>
      </c>
      <c r="K27">
        <v>13.4</v>
      </c>
      <c r="L27">
        <v>50019.7</v>
      </c>
      <c r="M27">
        <v>42515.31</v>
      </c>
      <c r="N27">
        <v>2.0249999999999999</v>
      </c>
      <c r="O27">
        <v>5.3760000000000002E-2</v>
      </c>
      <c r="P27">
        <v>1.8939999999999999</v>
      </c>
      <c r="Q27">
        <v>93.09</v>
      </c>
      <c r="R27">
        <v>5.8449999999999998</v>
      </c>
      <c r="S27">
        <v>48.23</v>
      </c>
    </row>
    <row r="28" spans="1:19" x14ac:dyDescent="0.3">
      <c r="A28" s="2">
        <v>43959</v>
      </c>
      <c r="B28">
        <v>87.953183520599239</v>
      </c>
      <c r="C28">
        <v>113.3531554307116</v>
      </c>
      <c r="D28">
        <v>134.97180711610491</v>
      </c>
      <c r="E28">
        <v>51.91</v>
      </c>
      <c r="F28">
        <v>123.75970973782771</v>
      </c>
      <c r="G28">
        <v>24.74</v>
      </c>
      <c r="H28">
        <v>30.97</v>
      </c>
      <c r="I28">
        <v>28.54</v>
      </c>
      <c r="J28">
        <v>46.18</v>
      </c>
      <c r="K28">
        <v>13.5</v>
      </c>
      <c r="L28">
        <v>51003.58</v>
      </c>
      <c r="M28">
        <v>43637.3</v>
      </c>
      <c r="N28">
        <v>2.0299999999999998</v>
      </c>
      <c r="O28">
        <v>5.4460000000000001E-2</v>
      </c>
      <c r="P28">
        <v>1.823</v>
      </c>
      <c r="Q28">
        <v>93.52</v>
      </c>
      <c r="R28">
        <v>5.83</v>
      </c>
      <c r="S28">
        <v>48</v>
      </c>
    </row>
    <row r="29" spans="1:19" x14ac:dyDescent="0.3">
      <c r="A29" s="2">
        <v>43962</v>
      </c>
      <c r="B29">
        <v>31.61</v>
      </c>
      <c r="C29">
        <v>40.68</v>
      </c>
      <c r="D29">
        <v>50.66</v>
      </c>
      <c r="E29">
        <v>51.91</v>
      </c>
      <c r="F29">
        <v>45.77</v>
      </c>
      <c r="G29">
        <v>24.14</v>
      </c>
      <c r="H29">
        <v>29.63</v>
      </c>
      <c r="I29">
        <v>27.27</v>
      </c>
      <c r="J29">
        <v>45.74</v>
      </c>
      <c r="K29">
        <v>13.58</v>
      </c>
      <c r="L29">
        <v>50202.85</v>
      </c>
      <c r="M29">
        <v>41414.199999999997</v>
      </c>
      <c r="N29">
        <v>2.04</v>
      </c>
      <c r="O29">
        <v>5.4239999999999997E-2</v>
      </c>
      <c r="P29">
        <v>1.8260000000000001</v>
      </c>
      <c r="Q29">
        <v>94.1</v>
      </c>
      <c r="R29">
        <v>5.7050000000000001</v>
      </c>
      <c r="S29">
        <v>48.35</v>
      </c>
    </row>
    <row r="30" spans="1:19" x14ac:dyDescent="0.3">
      <c r="A30" s="2">
        <v>43963</v>
      </c>
      <c r="B30">
        <v>31.61</v>
      </c>
      <c r="C30">
        <v>40.68</v>
      </c>
      <c r="D30">
        <v>50.66</v>
      </c>
      <c r="E30">
        <v>51.91</v>
      </c>
      <c r="F30">
        <v>45.77</v>
      </c>
      <c r="G30">
        <v>25.78</v>
      </c>
      <c r="H30">
        <v>29.98</v>
      </c>
      <c r="I30">
        <v>26.81</v>
      </c>
      <c r="J30">
        <v>44.12</v>
      </c>
      <c r="K30">
        <v>13.4</v>
      </c>
      <c r="L30">
        <v>50319.41</v>
      </c>
      <c r="M30">
        <v>42000.21</v>
      </c>
      <c r="N30">
        <v>2.1150000000000002</v>
      </c>
      <c r="O30">
        <v>5.4239999999999997E-2</v>
      </c>
      <c r="P30">
        <v>1.72</v>
      </c>
      <c r="Q30">
        <v>92.55</v>
      </c>
      <c r="R30">
        <v>5.3150000000000004</v>
      </c>
      <c r="S30">
        <v>48.17</v>
      </c>
    </row>
    <row r="31" spans="1:19" x14ac:dyDescent="0.3">
      <c r="A31" s="2">
        <v>43964</v>
      </c>
      <c r="B31">
        <v>31.61</v>
      </c>
      <c r="C31">
        <v>40.68</v>
      </c>
      <c r="D31">
        <v>50.66</v>
      </c>
      <c r="E31">
        <v>51.91</v>
      </c>
      <c r="F31">
        <v>45.77</v>
      </c>
      <c r="G31">
        <v>25.29</v>
      </c>
      <c r="H31">
        <v>29.19</v>
      </c>
      <c r="I31">
        <v>26.68</v>
      </c>
      <c r="J31">
        <v>41.93</v>
      </c>
      <c r="K31">
        <v>13.36</v>
      </c>
      <c r="L31">
        <v>50152.05</v>
      </c>
      <c r="M31">
        <v>41336.720000000001</v>
      </c>
      <c r="N31">
        <v>2.1150000000000002</v>
      </c>
      <c r="O31">
        <v>5.4030000000000002E-2</v>
      </c>
      <c r="P31">
        <v>1.6160000000000001</v>
      </c>
      <c r="Q31">
        <v>93.3</v>
      </c>
      <c r="R31">
        <v>5.12</v>
      </c>
      <c r="S31">
        <v>51.6</v>
      </c>
    </row>
    <row r="32" spans="1:19" x14ac:dyDescent="0.3">
      <c r="A32" s="2">
        <v>43965</v>
      </c>
      <c r="B32">
        <v>31.61</v>
      </c>
      <c r="C32">
        <v>40.68</v>
      </c>
      <c r="D32">
        <v>50.66</v>
      </c>
      <c r="E32">
        <v>51.91</v>
      </c>
      <c r="F32">
        <v>45.77</v>
      </c>
      <c r="G32">
        <v>27.56</v>
      </c>
      <c r="H32">
        <v>31.13</v>
      </c>
      <c r="I32">
        <v>29.2</v>
      </c>
      <c r="J32">
        <v>42.3</v>
      </c>
      <c r="K32">
        <v>13.16</v>
      </c>
      <c r="L32">
        <v>49113.06</v>
      </c>
      <c r="M32">
        <v>41249.56</v>
      </c>
      <c r="N32">
        <v>2.11</v>
      </c>
      <c r="O32">
        <v>5.4239999999999997E-2</v>
      </c>
      <c r="P32">
        <v>1.681</v>
      </c>
      <c r="Q32">
        <v>93.25</v>
      </c>
      <c r="R32">
        <v>5.2649999999999997</v>
      </c>
      <c r="S32">
        <v>51.72</v>
      </c>
    </row>
    <row r="33" spans="1:19" x14ac:dyDescent="0.3">
      <c r="A33" s="2">
        <v>43966</v>
      </c>
      <c r="B33">
        <v>32.979999999999997</v>
      </c>
      <c r="C33">
        <v>42.39</v>
      </c>
      <c r="D33">
        <v>52.37</v>
      </c>
      <c r="E33">
        <v>53.17</v>
      </c>
      <c r="F33">
        <v>48.75</v>
      </c>
      <c r="G33">
        <v>29.43</v>
      </c>
      <c r="H33">
        <v>32.5</v>
      </c>
      <c r="I33">
        <v>29.8</v>
      </c>
      <c r="J33">
        <v>42</v>
      </c>
      <c r="K33">
        <v>13.14</v>
      </c>
      <c r="L33">
        <v>49628.72</v>
      </c>
      <c r="M33">
        <v>43330.28</v>
      </c>
      <c r="N33">
        <v>2.105</v>
      </c>
      <c r="O33">
        <v>5.3839999999999999E-2</v>
      </c>
      <c r="P33">
        <v>1.6459999999999999</v>
      </c>
      <c r="Q33">
        <v>93.47</v>
      </c>
      <c r="R33">
        <v>5.22</v>
      </c>
      <c r="S33">
        <v>53.37</v>
      </c>
    </row>
    <row r="34" spans="1:19" x14ac:dyDescent="0.3">
      <c r="A34" s="2">
        <v>43969</v>
      </c>
      <c r="B34">
        <v>32.979999999999997</v>
      </c>
      <c r="C34">
        <v>42.39</v>
      </c>
      <c r="D34">
        <v>52.37</v>
      </c>
      <c r="E34">
        <v>53.17</v>
      </c>
      <c r="F34">
        <v>48.75</v>
      </c>
      <c r="G34">
        <v>31.82</v>
      </c>
      <c r="H34">
        <v>34.81</v>
      </c>
      <c r="I34">
        <v>30.55</v>
      </c>
      <c r="J34">
        <v>45.34</v>
      </c>
      <c r="K34">
        <v>13.48</v>
      </c>
      <c r="L34">
        <v>51382.06</v>
      </c>
      <c r="M34">
        <v>46198.33</v>
      </c>
      <c r="N34">
        <v>2.2799999999999998</v>
      </c>
      <c r="O34">
        <v>5.4460000000000001E-2</v>
      </c>
      <c r="P34">
        <v>1.7829999999999999</v>
      </c>
      <c r="Q34">
        <v>96</v>
      </c>
      <c r="R34">
        <v>4.92</v>
      </c>
      <c r="S34">
        <v>53.02</v>
      </c>
    </row>
    <row r="35" spans="1:19" x14ac:dyDescent="0.3">
      <c r="A35" s="2">
        <v>43970</v>
      </c>
      <c r="B35">
        <v>32.979999999999997</v>
      </c>
      <c r="C35">
        <v>42.39</v>
      </c>
      <c r="D35">
        <v>52.37</v>
      </c>
      <c r="E35">
        <v>53.17</v>
      </c>
      <c r="F35">
        <v>48.75</v>
      </c>
      <c r="G35">
        <v>32.5</v>
      </c>
      <c r="H35">
        <v>34.65</v>
      </c>
      <c r="I35">
        <v>30.42</v>
      </c>
      <c r="J35">
        <v>43.94</v>
      </c>
      <c r="K35">
        <v>14</v>
      </c>
      <c r="L35">
        <v>51950.14</v>
      </c>
      <c r="M35">
        <v>46576.23</v>
      </c>
      <c r="N35">
        <v>2.2149999999999999</v>
      </c>
      <c r="O35">
        <v>5.4519999999999999E-2</v>
      </c>
      <c r="P35">
        <v>1.83</v>
      </c>
      <c r="Q35">
        <v>92.96</v>
      </c>
      <c r="R35">
        <v>4.6100000000000003</v>
      </c>
      <c r="S35">
        <v>54.47</v>
      </c>
    </row>
    <row r="36" spans="1:19" x14ac:dyDescent="0.3">
      <c r="A36" s="2">
        <v>43971</v>
      </c>
      <c r="B36">
        <v>32.979999999999997</v>
      </c>
      <c r="C36">
        <v>42.39</v>
      </c>
      <c r="D36">
        <v>52.37</v>
      </c>
      <c r="E36">
        <v>53.17</v>
      </c>
      <c r="F36">
        <v>48.75</v>
      </c>
      <c r="G36">
        <v>33.49</v>
      </c>
      <c r="H36">
        <v>35.75</v>
      </c>
      <c r="I36">
        <v>30.57</v>
      </c>
      <c r="J36">
        <v>45.37</v>
      </c>
      <c r="K36">
        <v>14.04</v>
      </c>
      <c r="L36">
        <v>52142.75</v>
      </c>
      <c r="M36">
        <v>46237.15</v>
      </c>
      <c r="N36">
        <v>2.1949999999999998</v>
      </c>
      <c r="O36">
        <v>5.5759999999999997E-2</v>
      </c>
      <c r="P36">
        <v>1.7709999999999999</v>
      </c>
      <c r="Q36">
        <v>93.45</v>
      </c>
      <c r="R36">
        <v>4.46</v>
      </c>
      <c r="S36">
        <v>54.68</v>
      </c>
    </row>
    <row r="37" spans="1:19" x14ac:dyDescent="0.3">
      <c r="A37" s="2">
        <v>43972</v>
      </c>
      <c r="B37">
        <v>32.979999999999997</v>
      </c>
      <c r="C37">
        <v>42.39</v>
      </c>
      <c r="D37">
        <v>52.37</v>
      </c>
      <c r="E37">
        <v>53.17</v>
      </c>
      <c r="F37">
        <v>48.75</v>
      </c>
      <c r="G37">
        <v>33.92</v>
      </c>
      <c r="H37">
        <v>36.06</v>
      </c>
      <c r="I37">
        <v>30.62</v>
      </c>
      <c r="J37">
        <v>44.56</v>
      </c>
      <c r="K37">
        <v>14.04</v>
      </c>
      <c r="L37">
        <v>51022.76</v>
      </c>
      <c r="M37">
        <v>44356.55</v>
      </c>
      <c r="N37">
        <v>2.0950000000000002</v>
      </c>
      <c r="O37">
        <v>5.6840000000000002E-2</v>
      </c>
      <c r="P37">
        <v>1.71</v>
      </c>
      <c r="Q37">
        <v>92.86</v>
      </c>
      <c r="R37">
        <v>3.8250000000000002</v>
      </c>
      <c r="S37">
        <v>54.67</v>
      </c>
    </row>
    <row r="38" spans="1:19" x14ac:dyDescent="0.3">
      <c r="A38" s="2">
        <v>43973</v>
      </c>
      <c r="B38">
        <v>33.86</v>
      </c>
      <c r="C38">
        <v>42.98</v>
      </c>
      <c r="D38">
        <v>52.33</v>
      </c>
      <c r="E38">
        <v>54.93</v>
      </c>
      <c r="F38">
        <v>50.16</v>
      </c>
      <c r="G38">
        <v>33.25</v>
      </c>
      <c r="H38">
        <v>35.130000000000003</v>
      </c>
      <c r="I38">
        <v>30.34</v>
      </c>
      <c r="J38">
        <v>44.6</v>
      </c>
      <c r="K38">
        <v>13.3</v>
      </c>
      <c r="L38">
        <v>50147.21</v>
      </c>
      <c r="M38">
        <v>43810.47</v>
      </c>
      <c r="N38">
        <v>2.0049999999999999</v>
      </c>
      <c r="O38">
        <v>5.6809999999999999E-2</v>
      </c>
      <c r="P38">
        <v>1.7310000000000001</v>
      </c>
      <c r="Q38">
        <v>93.77</v>
      </c>
      <c r="R38">
        <v>3.89</v>
      </c>
      <c r="S38">
        <v>54.92</v>
      </c>
    </row>
    <row r="39" spans="1:19" x14ac:dyDescent="0.3">
      <c r="A39" s="2">
        <v>43976</v>
      </c>
      <c r="B39">
        <v>87.953183520599239</v>
      </c>
      <c r="C39">
        <v>113.3531554307116</v>
      </c>
      <c r="D39">
        <v>134.97180711610491</v>
      </c>
      <c r="E39">
        <v>144.35149446494461</v>
      </c>
      <c r="F39">
        <v>123.75970973782771</v>
      </c>
      <c r="G39">
        <v>33.92</v>
      </c>
      <c r="H39">
        <v>35.53</v>
      </c>
      <c r="I39">
        <v>74.752492970946577</v>
      </c>
      <c r="J39">
        <v>80.871012183692585</v>
      </c>
      <c r="K39">
        <v>13.54</v>
      </c>
      <c r="L39">
        <v>50074.21</v>
      </c>
      <c r="M39">
        <v>44102.49</v>
      </c>
      <c r="N39">
        <v>17.62252908067542</v>
      </c>
      <c r="O39">
        <v>5.663E-2</v>
      </c>
      <c r="P39">
        <v>1.8640000000000001</v>
      </c>
      <c r="Q39">
        <v>112.7561105904405</v>
      </c>
      <c r="R39">
        <v>57.384855947955387</v>
      </c>
      <c r="S39">
        <v>141.61602674307539</v>
      </c>
    </row>
    <row r="40" spans="1:19" x14ac:dyDescent="0.3">
      <c r="A40" s="2">
        <v>43977</v>
      </c>
      <c r="B40">
        <v>33.86</v>
      </c>
      <c r="C40">
        <v>42.98</v>
      </c>
      <c r="D40">
        <v>52.33</v>
      </c>
      <c r="E40">
        <v>54.93</v>
      </c>
      <c r="F40">
        <v>50.16</v>
      </c>
      <c r="G40">
        <v>34.35</v>
      </c>
      <c r="H40">
        <v>36.17</v>
      </c>
      <c r="I40">
        <v>30.59</v>
      </c>
      <c r="J40">
        <v>45.91</v>
      </c>
      <c r="K40">
        <v>13.64</v>
      </c>
      <c r="L40">
        <v>50602.5</v>
      </c>
      <c r="M40">
        <v>43454.42</v>
      </c>
      <c r="N40">
        <v>2.1</v>
      </c>
      <c r="O40">
        <v>5.7430000000000002E-2</v>
      </c>
      <c r="P40">
        <v>1.7929999999999999</v>
      </c>
      <c r="Q40">
        <v>94.23</v>
      </c>
      <c r="R40">
        <v>4.125</v>
      </c>
      <c r="S40">
        <v>54.83</v>
      </c>
    </row>
    <row r="41" spans="1:19" x14ac:dyDescent="0.3">
      <c r="A41" s="2">
        <v>43978</v>
      </c>
      <c r="B41">
        <v>33.86</v>
      </c>
      <c r="C41">
        <v>42.98</v>
      </c>
      <c r="D41">
        <v>52.33</v>
      </c>
      <c r="E41">
        <v>54.93</v>
      </c>
      <c r="F41">
        <v>50.16</v>
      </c>
      <c r="G41">
        <v>32.81</v>
      </c>
      <c r="H41">
        <v>34.74</v>
      </c>
      <c r="I41">
        <v>30.43</v>
      </c>
      <c r="J41">
        <v>46.24</v>
      </c>
      <c r="K41">
        <v>13.84</v>
      </c>
      <c r="L41">
        <v>50495.95</v>
      </c>
      <c r="M41">
        <v>43374.39</v>
      </c>
      <c r="N41">
        <v>2</v>
      </c>
      <c r="O41">
        <v>5.7480000000000003E-2</v>
      </c>
      <c r="P41">
        <v>1.722</v>
      </c>
      <c r="Q41">
        <v>92.83</v>
      </c>
      <c r="R41">
        <v>3.6949999999999998</v>
      </c>
      <c r="S41">
        <v>54.73</v>
      </c>
    </row>
    <row r="42" spans="1:19" x14ac:dyDescent="0.3">
      <c r="A42" s="2">
        <v>43979</v>
      </c>
      <c r="B42">
        <v>33.86</v>
      </c>
      <c r="C42">
        <v>42.98</v>
      </c>
      <c r="D42">
        <v>52.33</v>
      </c>
      <c r="E42">
        <v>54.93</v>
      </c>
      <c r="F42">
        <v>50.16</v>
      </c>
      <c r="G42">
        <v>33.71</v>
      </c>
      <c r="H42">
        <v>35.29</v>
      </c>
      <c r="I42">
        <v>30.51</v>
      </c>
      <c r="J42">
        <v>45.04</v>
      </c>
      <c r="K42">
        <v>14.14</v>
      </c>
      <c r="L42">
        <v>51389.120000000003</v>
      </c>
      <c r="M42">
        <v>44957.26</v>
      </c>
      <c r="N42">
        <v>2.02</v>
      </c>
      <c r="O42">
        <v>5.7049999999999997E-2</v>
      </c>
      <c r="P42">
        <v>1.827</v>
      </c>
      <c r="Q42">
        <v>94.87</v>
      </c>
      <c r="R42">
        <v>3.51</v>
      </c>
      <c r="S42">
        <v>54.87</v>
      </c>
    </row>
    <row r="43" spans="1:19" x14ac:dyDescent="0.3">
      <c r="A43" s="2">
        <v>43980</v>
      </c>
      <c r="B43">
        <v>34.53</v>
      </c>
      <c r="C43">
        <v>43.62</v>
      </c>
      <c r="D43">
        <v>53.26</v>
      </c>
      <c r="E43">
        <v>55.27</v>
      </c>
      <c r="F43">
        <v>50.96</v>
      </c>
      <c r="G43">
        <v>35.49</v>
      </c>
      <c r="H43">
        <v>35.33</v>
      </c>
      <c r="I43">
        <v>30.47</v>
      </c>
      <c r="J43">
        <v>45.47</v>
      </c>
      <c r="K43">
        <v>14.16</v>
      </c>
      <c r="L43">
        <v>50483</v>
      </c>
      <c r="M43">
        <v>44896.14</v>
      </c>
      <c r="N43">
        <v>2.0649999999999999</v>
      </c>
      <c r="O43">
        <v>5.6959999999999997E-2</v>
      </c>
      <c r="P43">
        <v>1.849</v>
      </c>
      <c r="Q43">
        <v>97.25</v>
      </c>
      <c r="R43">
        <v>4.3849999999999998</v>
      </c>
      <c r="S43">
        <v>54.6</v>
      </c>
    </row>
    <row r="44" spans="1:19" x14ac:dyDescent="0.3">
      <c r="A44" s="2">
        <v>43983</v>
      </c>
      <c r="B44">
        <v>34.53</v>
      </c>
      <c r="C44">
        <v>43.62</v>
      </c>
      <c r="D44">
        <v>53.26</v>
      </c>
      <c r="E44">
        <v>55.27</v>
      </c>
      <c r="F44">
        <v>50.96</v>
      </c>
      <c r="G44">
        <v>35.44</v>
      </c>
      <c r="H44">
        <v>38.32</v>
      </c>
      <c r="I44">
        <v>38.32</v>
      </c>
      <c r="J44">
        <v>46.28</v>
      </c>
      <c r="K44">
        <v>14.32</v>
      </c>
      <c r="L44">
        <v>50929.59</v>
      </c>
      <c r="M44">
        <v>45207.98</v>
      </c>
      <c r="N44">
        <v>2</v>
      </c>
      <c r="O44">
        <v>5.7540000000000001E-2</v>
      </c>
      <c r="P44">
        <v>1.774</v>
      </c>
      <c r="Q44">
        <v>97.62</v>
      </c>
      <c r="R44">
        <v>4.0549999999999997</v>
      </c>
      <c r="S44">
        <v>57.7</v>
      </c>
    </row>
    <row r="45" spans="1:19" x14ac:dyDescent="0.3">
      <c r="A45" s="2">
        <v>43984</v>
      </c>
      <c r="B45">
        <v>34.53</v>
      </c>
      <c r="C45">
        <v>43.62</v>
      </c>
      <c r="D45">
        <v>53.26</v>
      </c>
      <c r="E45">
        <v>55.27</v>
      </c>
      <c r="F45">
        <v>50.96</v>
      </c>
      <c r="G45">
        <v>36.81</v>
      </c>
      <c r="H45">
        <v>39.57</v>
      </c>
      <c r="I45">
        <v>39.17</v>
      </c>
      <c r="J45">
        <v>47.31</v>
      </c>
      <c r="K45">
        <v>14.54</v>
      </c>
      <c r="L45">
        <v>52496.86</v>
      </c>
      <c r="M45">
        <v>46637.55</v>
      </c>
      <c r="N45">
        <v>2.105</v>
      </c>
      <c r="O45">
        <v>5.824E-2</v>
      </c>
      <c r="P45">
        <v>1.7769999999999999</v>
      </c>
      <c r="Q45">
        <v>96.35</v>
      </c>
      <c r="R45">
        <v>4.8499999999999996</v>
      </c>
      <c r="S45">
        <v>56.48</v>
      </c>
    </row>
    <row r="46" spans="1:19" x14ac:dyDescent="0.3">
      <c r="A46" s="2">
        <v>43985</v>
      </c>
      <c r="B46">
        <v>34.53</v>
      </c>
      <c r="C46">
        <v>43.62</v>
      </c>
      <c r="D46">
        <v>53.26</v>
      </c>
      <c r="E46">
        <v>55.27</v>
      </c>
      <c r="F46">
        <v>50.96</v>
      </c>
      <c r="G46">
        <v>37.29</v>
      </c>
      <c r="H46">
        <v>39.79</v>
      </c>
      <c r="I46">
        <v>39.26</v>
      </c>
      <c r="J46">
        <v>49.24</v>
      </c>
      <c r="K46">
        <v>14.64</v>
      </c>
      <c r="L46">
        <v>53645.279999999999</v>
      </c>
      <c r="M46">
        <v>46120</v>
      </c>
      <c r="N46">
        <v>2.1</v>
      </c>
      <c r="O46">
        <v>5.9029999999999999E-2</v>
      </c>
      <c r="P46">
        <v>1.821</v>
      </c>
      <c r="Q46">
        <v>97.88</v>
      </c>
      <c r="R46">
        <v>5.33</v>
      </c>
      <c r="S46">
        <v>58</v>
      </c>
    </row>
    <row r="47" spans="1:19" x14ac:dyDescent="0.3">
      <c r="A47" s="2">
        <v>43986</v>
      </c>
      <c r="B47">
        <v>34.53</v>
      </c>
      <c r="C47">
        <v>43.62</v>
      </c>
      <c r="D47">
        <v>53.26</v>
      </c>
      <c r="E47">
        <v>55.27</v>
      </c>
      <c r="F47">
        <v>50.96</v>
      </c>
      <c r="G47">
        <v>37.409999999999997</v>
      </c>
      <c r="H47">
        <v>39.99</v>
      </c>
      <c r="I47">
        <v>39.15</v>
      </c>
      <c r="J47">
        <v>49.1</v>
      </c>
      <c r="K47">
        <v>13.08</v>
      </c>
      <c r="L47">
        <v>53204.79</v>
      </c>
      <c r="M47">
        <v>45911.11</v>
      </c>
      <c r="N47">
        <v>2.0699999999999998</v>
      </c>
      <c r="O47">
        <v>5.9089999999999997E-2</v>
      </c>
      <c r="P47">
        <v>1.8220000000000001</v>
      </c>
      <c r="Q47">
        <v>95.79</v>
      </c>
      <c r="R47">
        <v>5.39</v>
      </c>
      <c r="S47">
        <v>59.87</v>
      </c>
    </row>
    <row r="48" spans="1:19" x14ac:dyDescent="0.3">
      <c r="A48" s="2">
        <v>43987</v>
      </c>
      <c r="B48">
        <v>36.700000000000003</v>
      </c>
      <c r="C48">
        <v>45.35</v>
      </c>
      <c r="D48">
        <v>55.02</v>
      </c>
      <c r="E48">
        <v>59.32</v>
      </c>
      <c r="F48">
        <v>53.47</v>
      </c>
      <c r="G48">
        <v>39.549999999999997</v>
      </c>
      <c r="H48">
        <v>42.3</v>
      </c>
      <c r="I48">
        <v>41.32</v>
      </c>
      <c r="J48">
        <v>53.08</v>
      </c>
      <c r="K48">
        <v>13.1</v>
      </c>
      <c r="L48">
        <v>54722.38</v>
      </c>
      <c r="M48">
        <v>46815.83</v>
      </c>
      <c r="N48">
        <v>2.0699999999999998</v>
      </c>
      <c r="O48">
        <v>5.9240000000000001E-2</v>
      </c>
      <c r="P48">
        <v>1.782</v>
      </c>
      <c r="Q48">
        <v>97.81</v>
      </c>
      <c r="R48">
        <v>5.71</v>
      </c>
      <c r="S48">
        <v>58.38</v>
      </c>
    </row>
    <row r="49" spans="1:19" x14ac:dyDescent="0.3">
      <c r="A49" s="2">
        <v>43990</v>
      </c>
      <c r="B49">
        <v>36.700000000000003</v>
      </c>
      <c r="C49">
        <v>45.35</v>
      </c>
      <c r="D49">
        <v>55.02</v>
      </c>
      <c r="E49">
        <v>59.32</v>
      </c>
      <c r="F49">
        <v>53.47</v>
      </c>
      <c r="G49">
        <v>38.19</v>
      </c>
      <c r="H49">
        <v>40.799999999999997</v>
      </c>
      <c r="I49">
        <v>40.69</v>
      </c>
      <c r="J49">
        <v>54.74</v>
      </c>
      <c r="K49">
        <v>13.14</v>
      </c>
      <c r="L49">
        <v>54684.32</v>
      </c>
      <c r="M49">
        <v>47256.23</v>
      </c>
      <c r="N49">
        <v>2.0699999999999998</v>
      </c>
      <c r="O49">
        <v>5.994E-2</v>
      </c>
      <c r="P49">
        <v>1.7889999999999999</v>
      </c>
      <c r="Q49">
        <v>97.48</v>
      </c>
      <c r="R49">
        <v>5.25</v>
      </c>
      <c r="S49">
        <v>55.85</v>
      </c>
    </row>
    <row r="50" spans="1:19" x14ac:dyDescent="0.3">
      <c r="A50" s="2">
        <v>43991</v>
      </c>
      <c r="B50">
        <v>36.700000000000003</v>
      </c>
      <c r="C50">
        <v>45.35</v>
      </c>
      <c r="D50">
        <v>55.02</v>
      </c>
      <c r="E50">
        <v>59.32</v>
      </c>
      <c r="F50">
        <v>53.47</v>
      </c>
      <c r="G50">
        <v>38.94</v>
      </c>
      <c r="H50">
        <v>41.18</v>
      </c>
      <c r="I50">
        <v>40.82</v>
      </c>
      <c r="J50">
        <v>53.52</v>
      </c>
      <c r="K50">
        <v>13.3</v>
      </c>
      <c r="L50">
        <v>54483.48</v>
      </c>
      <c r="M50">
        <v>47327.7</v>
      </c>
      <c r="N50">
        <v>2.06</v>
      </c>
      <c r="O50">
        <v>6.0080000000000001E-2</v>
      </c>
      <c r="P50">
        <v>1.7669999999999999</v>
      </c>
      <c r="Q50">
        <v>97.44</v>
      </c>
      <c r="R50">
        <v>4.8049999999999997</v>
      </c>
      <c r="S50">
        <v>54.8</v>
      </c>
    </row>
    <row r="51" spans="1:19" x14ac:dyDescent="0.3">
      <c r="A51" s="2">
        <v>43992</v>
      </c>
      <c r="B51">
        <v>36.700000000000003</v>
      </c>
      <c r="C51">
        <v>45.35</v>
      </c>
      <c r="D51">
        <v>55.02</v>
      </c>
      <c r="E51">
        <v>59.32</v>
      </c>
      <c r="F51">
        <v>53.47</v>
      </c>
      <c r="G51">
        <v>39.6</v>
      </c>
      <c r="H51">
        <v>41.73</v>
      </c>
      <c r="I51">
        <v>41.52</v>
      </c>
      <c r="J51">
        <v>50.65</v>
      </c>
      <c r="K51">
        <v>13.08</v>
      </c>
      <c r="L51">
        <v>53672.63</v>
      </c>
      <c r="M51">
        <v>46300.61</v>
      </c>
      <c r="N51">
        <v>2.0699999999999998</v>
      </c>
      <c r="O51">
        <v>6.0560000000000003E-2</v>
      </c>
      <c r="P51">
        <v>1.78</v>
      </c>
      <c r="Q51">
        <v>97.31</v>
      </c>
      <c r="R51">
        <v>4.8</v>
      </c>
      <c r="S51">
        <v>57.75</v>
      </c>
    </row>
    <row r="52" spans="1:19" x14ac:dyDescent="0.3">
      <c r="A52" s="2">
        <v>43993</v>
      </c>
      <c r="B52">
        <v>36.700000000000003</v>
      </c>
      <c r="C52">
        <v>45.35</v>
      </c>
      <c r="D52">
        <v>55.02</v>
      </c>
      <c r="E52">
        <v>59.32</v>
      </c>
      <c r="F52">
        <v>53.47</v>
      </c>
      <c r="G52">
        <v>36.340000000000003</v>
      </c>
      <c r="H52">
        <v>38.549999999999997</v>
      </c>
      <c r="I52">
        <v>39.44</v>
      </c>
      <c r="J52">
        <v>46.18</v>
      </c>
      <c r="K52">
        <v>12.76</v>
      </c>
      <c r="L52">
        <v>53295.3</v>
      </c>
      <c r="M52">
        <v>46560.26</v>
      </c>
      <c r="N52">
        <v>2.0699999999999998</v>
      </c>
      <c r="O52">
        <v>5.8180000000000003E-2</v>
      </c>
      <c r="P52">
        <v>1.8129999999999999</v>
      </c>
      <c r="Q52">
        <v>92.04</v>
      </c>
      <c r="R52">
        <v>4.99</v>
      </c>
      <c r="S52">
        <v>57.95</v>
      </c>
    </row>
    <row r="53" spans="1:19" x14ac:dyDescent="0.3">
      <c r="A53" s="2">
        <v>43994</v>
      </c>
      <c r="B53">
        <v>34.1</v>
      </c>
      <c r="C53">
        <v>42</v>
      </c>
      <c r="D53">
        <v>51.58</v>
      </c>
      <c r="E53">
        <v>55.34</v>
      </c>
      <c r="F53">
        <v>50.81</v>
      </c>
      <c r="G53">
        <v>36.26</v>
      </c>
      <c r="H53">
        <v>38.729999999999997</v>
      </c>
      <c r="I53">
        <v>39.5</v>
      </c>
      <c r="J53">
        <v>47.17</v>
      </c>
      <c r="K53">
        <v>12.5</v>
      </c>
      <c r="L53">
        <v>53639.64</v>
      </c>
      <c r="M53">
        <v>46736.38</v>
      </c>
      <c r="N53">
        <v>2.0649999999999999</v>
      </c>
      <c r="O53">
        <v>5.858E-2</v>
      </c>
      <c r="P53">
        <v>1.7310000000000001</v>
      </c>
      <c r="Q53">
        <v>93.26</v>
      </c>
      <c r="R53">
        <v>5.2750000000000004</v>
      </c>
      <c r="S53">
        <v>57.22</v>
      </c>
    </row>
    <row r="54" spans="1:19" x14ac:dyDescent="0.3">
      <c r="A54" s="2">
        <v>43997</v>
      </c>
      <c r="B54">
        <v>34.1</v>
      </c>
      <c r="C54">
        <v>42</v>
      </c>
      <c r="D54">
        <v>51.58</v>
      </c>
      <c r="E54">
        <v>55.34</v>
      </c>
      <c r="F54">
        <v>50.81</v>
      </c>
      <c r="G54">
        <v>37.119999999999997</v>
      </c>
      <c r="H54">
        <v>39.72</v>
      </c>
      <c r="I54">
        <v>39.85</v>
      </c>
      <c r="J54">
        <v>47.14</v>
      </c>
      <c r="K54">
        <v>12.34</v>
      </c>
      <c r="L54">
        <v>52270.2</v>
      </c>
      <c r="M54">
        <v>45144.32</v>
      </c>
      <c r="N54">
        <v>2.0630000000000002</v>
      </c>
      <c r="O54">
        <v>5.8409999999999997E-2</v>
      </c>
      <c r="P54">
        <v>1.669</v>
      </c>
      <c r="Q54">
        <v>93.77</v>
      </c>
      <c r="R54">
        <v>5.5149999999999997</v>
      </c>
      <c r="S54">
        <v>59.62</v>
      </c>
    </row>
    <row r="55" spans="1:19" x14ac:dyDescent="0.3">
      <c r="A55" s="2">
        <v>43998</v>
      </c>
      <c r="B55">
        <v>34.1</v>
      </c>
      <c r="C55">
        <v>42</v>
      </c>
      <c r="D55">
        <v>51.58</v>
      </c>
      <c r="E55">
        <v>55.34</v>
      </c>
      <c r="F55">
        <v>50.81</v>
      </c>
      <c r="G55">
        <v>38.380000000000003</v>
      </c>
      <c r="H55">
        <v>40.96</v>
      </c>
      <c r="I55">
        <v>40.28</v>
      </c>
      <c r="J55">
        <v>48.2</v>
      </c>
      <c r="K55">
        <v>12.5</v>
      </c>
      <c r="L55">
        <v>68736.904810964072</v>
      </c>
      <c r="M55">
        <v>52972.178374291107</v>
      </c>
      <c r="N55">
        <v>2.25</v>
      </c>
      <c r="O55">
        <v>5.7970000000000001E-2</v>
      </c>
      <c r="P55">
        <v>1.6140000000000001</v>
      </c>
      <c r="Q55">
        <v>94.66</v>
      </c>
      <c r="R55">
        <v>5.26</v>
      </c>
      <c r="S55">
        <v>61.75</v>
      </c>
    </row>
    <row r="56" spans="1:19" x14ac:dyDescent="0.3">
      <c r="A56" s="2">
        <v>43999</v>
      </c>
      <c r="B56">
        <v>34.1</v>
      </c>
      <c r="C56">
        <v>42</v>
      </c>
      <c r="D56">
        <v>51.58</v>
      </c>
      <c r="E56">
        <v>55.34</v>
      </c>
      <c r="F56">
        <v>50.81</v>
      </c>
      <c r="G56">
        <v>37.96</v>
      </c>
      <c r="H56">
        <v>40.71</v>
      </c>
      <c r="I56">
        <v>40.229999999999997</v>
      </c>
      <c r="J56">
        <v>46.63</v>
      </c>
      <c r="K56">
        <v>12.52</v>
      </c>
      <c r="L56">
        <v>54027.42</v>
      </c>
      <c r="M56">
        <v>46378.02</v>
      </c>
      <c r="N56">
        <v>2.2000000000000002</v>
      </c>
      <c r="O56">
        <v>5.8110000000000002E-2</v>
      </c>
      <c r="P56">
        <v>1.6379999999999999</v>
      </c>
      <c r="Q56">
        <v>94.62</v>
      </c>
      <c r="R56">
        <v>5.21</v>
      </c>
      <c r="S56">
        <v>60.92</v>
      </c>
    </row>
    <row r="57" spans="1:19" x14ac:dyDescent="0.3">
      <c r="A57" s="2">
        <v>44000</v>
      </c>
      <c r="B57">
        <v>34.1</v>
      </c>
      <c r="C57">
        <v>42</v>
      </c>
      <c r="D57">
        <v>51.58</v>
      </c>
      <c r="E57">
        <v>55.34</v>
      </c>
      <c r="F57">
        <v>50.81</v>
      </c>
      <c r="G57">
        <v>38.840000000000003</v>
      </c>
      <c r="H57">
        <v>41.51</v>
      </c>
      <c r="I57">
        <v>40.630000000000003</v>
      </c>
      <c r="J57">
        <v>46.92</v>
      </c>
      <c r="K57">
        <v>12.88</v>
      </c>
      <c r="L57">
        <v>53941.22</v>
      </c>
      <c r="M57">
        <v>46046.52</v>
      </c>
      <c r="N57">
        <v>2.2000000000000002</v>
      </c>
      <c r="O57">
        <v>5.7180000000000002E-2</v>
      </c>
      <c r="P57">
        <v>1.6379999999999999</v>
      </c>
      <c r="Q57">
        <v>94.39</v>
      </c>
      <c r="R57">
        <v>5.45</v>
      </c>
      <c r="S57">
        <v>60.08</v>
      </c>
    </row>
    <row r="58" spans="1:19" x14ac:dyDescent="0.3">
      <c r="A58" s="2">
        <v>44001</v>
      </c>
      <c r="B58">
        <v>32.909999999999997</v>
      </c>
      <c r="C58">
        <v>40.96</v>
      </c>
      <c r="D58">
        <v>50.86</v>
      </c>
      <c r="E58">
        <v>54.15</v>
      </c>
      <c r="F58">
        <v>51.71</v>
      </c>
      <c r="G58">
        <v>39.75</v>
      </c>
      <c r="H58">
        <v>42.19</v>
      </c>
      <c r="I58">
        <v>41.07</v>
      </c>
      <c r="J58">
        <v>45.98</v>
      </c>
      <c r="K58">
        <v>12.88</v>
      </c>
      <c r="L58">
        <v>54224.4</v>
      </c>
      <c r="M58">
        <v>46798.76</v>
      </c>
      <c r="N58">
        <v>2.2200000000000002</v>
      </c>
      <c r="O58">
        <v>5.7669999999999999E-2</v>
      </c>
      <c r="P58">
        <v>1.669</v>
      </c>
      <c r="Q58">
        <v>94.52</v>
      </c>
      <c r="R58">
        <v>5.6150000000000002</v>
      </c>
      <c r="S58">
        <v>63.1</v>
      </c>
    </row>
    <row r="59" spans="1:19" x14ac:dyDescent="0.3">
      <c r="A59" s="2">
        <v>44004</v>
      </c>
      <c r="B59">
        <v>32.909999999999997</v>
      </c>
      <c r="C59">
        <v>40.96</v>
      </c>
      <c r="D59">
        <v>50.86</v>
      </c>
      <c r="E59">
        <v>54.15</v>
      </c>
      <c r="F59">
        <v>51.71</v>
      </c>
      <c r="G59">
        <v>40.46</v>
      </c>
      <c r="H59">
        <v>43.08</v>
      </c>
      <c r="I59">
        <v>41.12</v>
      </c>
      <c r="J59">
        <v>46.42</v>
      </c>
      <c r="K59">
        <v>12.52</v>
      </c>
      <c r="L59">
        <v>54230.17</v>
      </c>
      <c r="M59">
        <v>47053.91</v>
      </c>
      <c r="N59">
        <v>2.25</v>
      </c>
      <c r="O59">
        <v>5.7669999999999999E-2</v>
      </c>
      <c r="P59">
        <v>1.6639999999999999</v>
      </c>
      <c r="Q59">
        <v>94.31</v>
      </c>
      <c r="R59">
        <v>5.4950000000000001</v>
      </c>
      <c r="S59">
        <v>63.25</v>
      </c>
    </row>
    <row r="60" spans="1:19" x14ac:dyDescent="0.3">
      <c r="A60" s="2">
        <v>44005</v>
      </c>
      <c r="B60">
        <v>32.909999999999997</v>
      </c>
      <c r="C60">
        <v>40.96</v>
      </c>
      <c r="D60">
        <v>50.86</v>
      </c>
      <c r="E60">
        <v>54.15</v>
      </c>
      <c r="F60">
        <v>51.71</v>
      </c>
      <c r="G60">
        <v>40.369999999999997</v>
      </c>
      <c r="H60">
        <v>42.63</v>
      </c>
      <c r="I60">
        <v>41.04</v>
      </c>
      <c r="J60">
        <v>46.7</v>
      </c>
      <c r="K60">
        <v>12.38</v>
      </c>
      <c r="L60">
        <v>55474.93</v>
      </c>
      <c r="M60">
        <v>49066.64</v>
      </c>
      <c r="N60">
        <v>2.2999999999999998</v>
      </c>
      <c r="O60">
        <v>5.7930000000000002E-2</v>
      </c>
      <c r="P60">
        <v>1.637</v>
      </c>
      <c r="Q60">
        <v>93.5</v>
      </c>
      <c r="R60">
        <v>5.83</v>
      </c>
      <c r="S60">
        <v>62.27</v>
      </c>
    </row>
    <row r="61" spans="1:19" x14ac:dyDescent="0.3">
      <c r="A61" s="2">
        <v>44006</v>
      </c>
      <c r="B61">
        <v>32.909999999999997</v>
      </c>
      <c r="C61">
        <v>40.96</v>
      </c>
      <c r="D61">
        <v>50.86</v>
      </c>
      <c r="E61">
        <v>54.15</v>
      </c>
      <c r="F61">
        <v>51.71</v>
      </c>
      <c r="G61">
        <v>38.01</v>
      </c>
      <c r="H61">
        <v>40.31</v>
      </c>
      <c r="I61">
        <v>40.64</v>
      </c>
      <c r="J61">
        <v>44.5</v>
      </c>
      <c r="K61">
        <v>12.2</v>
      </c>
      <c r="L61">
        <v>54447.73</v>
      </c>
      <c r="M61">
        <v>47941.46</v>
      </c>
      <c r="N61">
        <v>2.2400000000000002</v>
      </c>
      <c r="O61">
        <v>5.7439999999999998E-2</v>
      </c>
      <c r="P61">
        <v>1.597</v>
      </c>
      <c r="Q61">
        <v>90.71</v>
      </c>
      <c r="R61">
        <v>5.665</v>
      </c>
      <c r="S61">
        <v>61.65</v>
      </c>
    </row>
    <row r="62" spans="1:19" x14ac:dyDescent="0.3">
      <c r="A62" s="2">
        <v>44007</v>
      </c>
      <c r="B62">
        <v>32.909999999999997</v>
      </c>
      <c r="C62">
        <v>40.96</v>
      </c>
      <c r="D62">
        <v>50.86</v>
      </c>
      <c r="E62">
        <v>54.15</v>
      </c>
      <c r="F62">
        <v>51.71</v>
      </c>
      <c r="G62">
        <v>38.72</v>
      </c>
      <c r="H62">
        <v>41.05</v>
      </c>
      <c r="I62">
        <v>40.78</v>
      </c>
      <c r="J62">
        <v>45.17</v>
      </c>
      <c r="K62">
        <v>21.274702495201531</v>
      </c>
      <c r="L62">
        <v>53914.05</v>
      </c>
      <c r="M62">
        <v>47861.82</v>
      </c>
      <c r="N62">
        <v>2.2200000000000002</v>
      </c>
      <c r="O62">
        <v>5.8299999999999998E-2</v>
      </c>
      <c r="P62">
        <v>1.482</v>
      </c>
      <c r="Q62">
        <v>92.83</v>
      </c>
      <c r="R62">
        <v>5.2549999999999999</v>
      </c>
      <c r="S62">
        <v>61.58</v>
      </c>
    </row>
    <row r="63" spans="1:19" x14ac:dyDescent="0.3">
      <c r="A63" s="2">
        <v>44008</v>
      </c>
      <c r="B63">
        <v>32.54</v>
      </c>
      <c r="C63">
        <v>40.299999999999997</v>
      </c>
      <c r="D63">
        <v>48.43</v>
      </c>
      <c r="E63">
        <v>50.05</v>
      </c>
      <c r="F63">
        <v>51.45</v>
      </c>
      <c r="G63">
        <v>38.49</v>
      </c>
      <c r="H63">
        <v>41.02</v>
      </c>
      <c r="I63">
        <v>40.81</v>
      </c>
      <c r="J63">
        <v>43.62</v>
      </c>
      <c r="K63">
        <v>12.06</v>
      </c>
      <c r="L63">
        <v>53648.05</v>
      </c>
      <c r="M63">
        <v>47591.24</v>
      </c>
      <c r="N63">
        <v>2.2000000000000002</v>
      </c>
      <c r="O63">
        <v>5.8000000000000003E-2</v>
      </c>
      <c r="P63">
        <v>1.4950000000000001</v>
      </c>
      <c r="Q63">
        <v>90.4</v>
      </c>
      <c r="R63">
        <v>5.1050000000000004</v>
      </c>
      <c r="S63">
        <v>62.03</v>
      </c>
    </row>
    <row r="64" spans="1:19" x14ac:dyDescent="0.3">
      <c r="A64" s="2">
        <v>44011</v>
      </c>
      <c r="B64">
        <v>32.54</v>
      </c>
      <c r="C64">
        <v>40.299999999999997</v>
      </c>
      <c r="D64">
        <v>48.43</v>
      </c>
      <c r="E64">
        <v>50.05</v>
      </c>
      <c r="F64">
        <v>51.45</v>
      </c>
      <c r="G64">
        <v>39.700000000000003</v>
      </c>
      <c r="H64">
        <v>41.71</v>
      </c>
      <c r="I64">
        <v>40.799999999999997</v>
      </c>
      <c r="J64">
        <v>44.32</v>
      </c>
      <c r="K64">
        <v>12.16</v>
      </c>
      <c r="L64">
        <v>54141.5</v>
      </c>
      <c r="M64">
        <v>48221.440000000002</v>
      </c>
      <c r="N64">
        <v>2.2000000000000002</v>
      </c>
      <c r="O64">
        <v>5.7840000000000003E-2</v>
      </c>
      <c r="P64">
        <v>1.7090000000000001</v>
      </c>
      <c r="Q64">
        <v>90.4</v>
      </c>
      <c r="R64">
        <v>5.84</v>
      </c>
      <c r="S64">
        <v>61.03</v>
      </c>
    </row>
    <row r="65" spans="1:19" x14ac:dyDescent="0.3">
      <c r="A65" s="2">
        <v>44012</v>
      </c>
      <c r="B65">
        <v>32.54</v>
      </c>
      <c r="C65">
        <v>40.299999999999997</v>
      </c>
      <c r="D65">
        <v>48.43</v>
      </c>
      <c r="E65">
        <v>50.05</v>
      </c>
      <c r="F65">
        <v>51.45</v>
      </c>
      <c r="G65">
        <v>39.270000000000003</v>
      </c>
      <c r="H65">
        <v>41.15</v>
      </c>
      <c r="I65">
        <v>40.79</v>
      </c>
      <c r="J65">
        <v>44.72</v>
      </c>
      <c r="K65">
        <v>12.12</v>
      </c>
      <c r="L65">
        <v>54362.36</v>
      </c>
      <c r="M65">
        <v>48805.82</v>
      </c>
      <c r="N65">
        <v>2.15</v>
      </c>
      <c r="O65">
        <v>5.7700000000000001E-2</v>
      </c>
      <c r="P65">
        <v>1.7509999999999999</v>
      </c>
      <c r="Q65">
        <v>91.6</v>
      </c>
      <c r="R65">
        <v>6.165</v>
      </c>
      <c r="S65">
        <v>59.92</v>
      </c>
    </row>
    <row r="66" spans="1:19" x14ac:dyDescent="0.3">
      <c r="A66" s="2">
        <v>44013</v>
      </c>
      <c r="B66">
        <v>32.54</v>
      </c>
      <c r="C66">
        <v>40.299999999999997</v>
      </c>
      <c r="D66">
        <v>48.43</v>
      </c>
      <c r="E66">
        <v>50.05</v>
      </c>
      <c r="F66">
        <v>51.45</v>
      </c>
      <c r="G66">
        <v>39.82</v>
      </c>
      <c r="H66">
        <v>42.03</v>
      </c>
      <c r="I66">
        <v>42.26</v>
      </c>
      <c r="J66">
        <v>43.71</v>
      </c>
      <c r="K66">
        <v>21.274702495201531</v>
      </c>
      <c r="L66">
        <v>53787.72</v>
      </c>
      <c r="M66">
        <v>47584.49</v>
      </c>
      <c r="N66">
        <v>2.2000000000000002</v>
      </c>
      <c r="O66">
        <v>5.8630000000000002E-2</v>
      </c>
      <c r="P66">
        <v>1.671</v>
      </c>
      <c r="Q66">
        <v>93.3</v>
      </c>
      <c r="R66">
        <v>5.8650000000000002</v>
      </c>
      <c r="S66">
        <v>59.95</v>
      </c>
    </row>
    <row r="67" spans="1:19" x14ac:dyDescent="0.3">
      <c r="A67" s="2">
        <v>44014</v>
      </c>
      <c r="B67">
        <v>32.54</v>
      </c>
      <c r="C67">
        <v>40.299999999999997</v>
      </c>
      <c r="D67">
        <v>48.43</v>
      </c>
      <c r="E67">
        <v>50.05</v>
      </c>
      <c r="F67">
        <v>51.45</v>
      </c>
      <c r="G67">
        <v>40.65</v>
      </c>
      <c r="H67">
        <v>43.14</v>
      </c>
      <c r="I67">
        <v>43.2</v>
      </c>
      <c r="J67">
        <v>44.08</v>
      </c>
      <c r="K67">
        <v>12.76</v>
      </c>
      <c r="L67">
        <v>54617.19</v>
      </c>
      <c r="M67">
        <v>48478.48</v>
      </c>
      <c r="N67">
        <v>2.2000000000000002</v>
      </c>
      <c r="O67">
        <v>5.8819999999999997E-2</v>
      </c>
      <c r="P67">
        <v>1.734</v>
      </c>
      <c r="Q67">
        <v>92.26</v>
      </c>
      <c r="R67">
        <v>5.9450000000000003</v>
      </c>
      <c r="S67">
        <v>61.28</v>
      </c>
    </row>
    <row r="68" spans="1:19" x14ac:dyDescent="0.3">
      <c r="A68" s="2">
        <v>44015</v>
      </c>
      <c r="B68">
        <v>32.61</v>
      </c>
      <c r="C68">
        <v>40.200000000000003</v>
      </c>
      <c r="D68">
        <v>49.91</v>
      </c>
      <c r="E68">
        <v>53.15</v>
      </c>
      <c r="F68">
        <v>49.92</v>
      </c>
      <c r="G68">
        <v>40.28</v>
      </c>
      <c r="H68">
        <v>42.8</v>
      </c>
      <c r="I68">
        <v>74.752492970946577</v>
      </c>
      <c r="J68">
        <v>80.871012183692585</v>
      </c>
      <c r="K68">
        <v>13.28</v>
      </c>
      <c r="L68">
        <v>54521.9</v>
      </c>
      <c r="M68">
        <v>47750.3</v>
      </c>
      <c r="N68">
        <v>17.62252908067542</v>
      </c>
      <c r="O68">
        <v>5.8720000000000001E-2</v>
      </c>
      <c r="P68">
        <v>1.746</v>
      </c>
      <c r="Q68">
        <v>112.7561105904405</v>
      </c>
      <c r="R68">
        <v>57.384855947955387</v>
      </c>
      <c r="S68">
        <v>62.62</v>
      </c>
    </row>
    <row r="69" spans="1:19" x14ac:dyDescent="0.3">
      <c r="A69" s="2">
        <v>44018</v>
      </c>
      <c r="B69">
        <v>32.61</v>
      </c>
      <c r="C69">
        <v>40.200000000000003</v>
      </c>
      <c r="D69">
        <v>49.91</v>
      </c>
      <c r="E69">
        <v>53.15</v>
      </c>
      <c r="F69">
        <v>49.92</v>
      </c>
      <c r="G69">
        <v>40.630000000000003</v>
      </c>
      <c r="H69">
        <v>43.1</v>
      </c>
      <c r="I69">
        <v>42.89</v>
      </c>
      <c r="J69">
        <v>44.39</v>
      </c>
      <c r="K69">
        <v>13.92</v>
      </c>
      <c r="L69">
        <v>54846.28</v>
      </c>
      <c r="M69">
        <v>48736.58</v>
      </c>
      <c r="N69">
        <v>2.1949999999999998</v>
      </c>
      <c r="O69">
        <v>5.8869999999999999E-2</v>
      </c>
      <c r="P69">
        <v>1.83</v>
      </c>
      <c r="Q69">
        <v>92.53</v>
      </c>
      <c r="R69">
        <v>6.0949999999999998</v>
      </c>
      <c r="S69">
        <v>63.65</v>
      </c>
    </row>
    <row r="70" spans="1:19" x14ac:dyDescent="0.3">
      <c r="A70" s="2">
        <v>44019</v>
      </c>
      <c r="B70">
        <v>32.61</v>
      </c>
      <c r="C70">
        <v>40.200000000000003</v>
      </c>
      <c r="D70">
        <v>49.91</v>
      </c>
      <c r="E70">
        <v>53.15</v>
      </c>
      <c r="F70">
        <v>49.92</v>
      </c>
      <c r="G70">
        <v>40.619999999999997</v>
      </c>
      <c r="H70">
        <v>43.08</v>
      </c>
      <c r="I70">
        <v>43.09</v>
      </c>
      <c r="J70">
        <v>43.24</v>
      </c>
      <c r="K70">
        <v>13.9</v>
      </c>
      <c r="L70">
        <v>55243.8</v>
      </c>
      <c r="M70">
        <v>49722.43</v>
      </c>
      <c r="N70">
        <v>2.1949999999999998</v>
      </c>
      <c r="O70">
        <v>5.8189999999999999E-2</v>
      </c>
      <c r="P70">
        <v>1.8759999999999999</v>
      </c>
      <c r="Q70">
        <v>92.57</v>
      </c>
      <c r="R70">
        <v>6.125</v>
      </c>
      <c r="S70">
        <v>62.87</v>
      </c>
    </row>
    <row r="71" spans="1:19" x14ac:dyDescent="0.3">
      <c r="A71" s="2">
        <v>44020</v>
      </c>
      <c r="B71">
        <v>32.61</v>
      </c>
      <c r="C71">
        <v>40.200000000000003</v>
      </c>
      <c r="D71">
        <v>49.91</v>
      </c>
      <c r="E71">
        <v>53.15</v>
      </c>
      <c r="F71">
        <v>49.92</v>
      </c>
      <c r="G71">
        <v>40.9</v>
      </c>
      <c r="H71">
        <v>43.29</v>
      </c>
      <c r="I71">
        <v>43.29</v>
      </c>
      <c r="J71">
        <v>43.14</v>
      </c>
      <c r="K71">
        <v>13.9</v>
      </c>
      <c r="L71">
        <v>55870.69</v>
      </c>
      <c r="M71">
        <v>50734.25</v>
      </c>
      <c r="N71">
        <v>2.19</v>
      </c>
      <c r="O71">
        <v>5.8990000000000001E-2</v>
      </c>
      <c r="P71">
        <v>1.8240000000000001</v>
      </c>
      <c r="Q71">
        <v>93.84</v>
      </c>
      <c r="R71">
        <v>5.9349999999999996</v>
      </c>
      <c r="S71">
        <v>62.48</v>
      </c>
    </row>
    <row r="72" spans="1:19" x14ac:dyDescent="0.3">
      <c r="A72" s="2">
        <v>44021</v>
      </c>
      <c r="B72">
        <v>32.61</v>
      </c>
      <c r="C72">
        <v>40.200000000000003</v>
      </c>
      <c r="D72">
        <v>49.91</v>
      </c>
      <c r="E72">
        <v>53.15</v>
      </c>
      <c r="F72">
        <v>49.92</v>
      </c>
      <c r="G72">
        <v>39.619999999999997</v>
      </c>
      <c r="H72">
        <v>42.35</v>
      </c>
      <c r="I72">
        <v>42.79</v>
      </c>
      <c r="J72">
        <v>41.36</v>
      </c>
      <c r="K72">
        <v>14.04</v>
      </c>
      <c r="L72">
        <v>55787.9</v>
      </c>
      <c r="M72">
        <v>50530.67</v>
      </c>
      <c r="N72">
        <v>2.17</v>
      </c>
      <c r="O72">
        <v>5.9360000000000003E-2</v>
      </c>
      <c r="P72">
        <v>1.7789999999999999</v>
      </c>
      <c r="Q72">
        <v>92.14</v>
      </c>
      <c r="R72">
        <v>5.7549999999999999</v>
      </c>
      <c r="S72">
        <v>62.08</v>
      </c>
    </row>
    <row r="73" spans="1:19" x14ac:dyDescent="0.3">
      <c r="A73" s="2">
        <v>44022</v>
      </c>
      <c r="B73">
        <v>33.5</v>
      </c>
      <c r="C73">
        <v>40.83</v>
      </c>
      <c r="D73">
        <v>50.12</v>
      </c>
      <c r="E73">
        <v>53.56</v>
      </c>
      <c r="F73">
        <v>51.16</v>
      </c>
      <c r="G73">
        <v>40.549999999999997</v>
      </c>
      <c r="H73">
        <v>43.24</v>
      </c>
      <c r="I73">
        <v>43.4</v>
      </c>
      <c r="J73">
        <v>42.65</v>
      </c>
      <c r="K73">
        <v>13.56</v>
      </c>
      <c r="L73">
        <v>55417.89</v>
      </c>
      <c r="M73">
        <v>50535.49</v>
      </c>
      <c r="N73">
        <v>2.1749999999999998</v>
      </c>
      <c r="O73">
        <v>5.9589999999999997E-2</v>
      </c>
      <c r="P73">
        <v>1.8049999999999999</v>
      </c>
      <c r="Q73">
        <v>92.55</v>
      </c>
      <c r="R73">
        <v>5.4749999999999996</v>
      </c>
      <c r="S73">
        <v>61.77</v>
      </c>
    </row>
    <row r="74" spans="1:19" x14ac:dyDescent="0.3">
      <c r="A74" s="2">
        <v>44025</v>
      </c>
      <c r="B74">
        <v>33.5</v>
      </c>
      <c r="C74">
        <v>40.83</v>
      </c>
      <c r="D74">
        <v>50.12</v>
      </c>
      <c r="E74">
        <v>53.56</v>
      </c>
      <c r="F74">
        <v>51.16</v>
      </c>
      <c r="G74">
        <v>40.1</v>
      </c>
      <c r="H74">
        <v>42.72</v>
      </c>
      <c r="I74">
        <v>43.1</v>
      </c>
      <c r="J74">
        <v>42.66</v>
      </c>
      <c r="K74">
        <v>13.56</v>
      </c>
      <c r="L74">
        <v>56199.46</v>
      </c>
      <c r="M74">
        <v>51325.85</v>
      </c>
      <c r="N74">
        <v>2.1549999999999998</v>
      </c>
      <c r="O74">
        <v>5.9310000000000002E-2</v>
      </c>
      <c r="P74">
        <v>1.7390000000000001</v>
      </c>
      <c r="Q74">
        <v>91.83</v>
      </c>
      <c r="R74">
        <v>5.1100000000000003</v>
      </c>
      <c r="S74">
        <v>61.95</v>
      </c>
    </row>
    <row r="75" spans="1:19" x14ac:dyDescent="0.3">
      <c r="A75" s="2">
        <v>44026</v>
      </c>
      <c r="B75">
        <v>33.5</v>
      </c>
      <c r="C75">
        <v>40.83</v>
      </c>
      <c r="D75">
        <v>50.12</v>
      </c>
      <c r="E75">
        <v>53.56</v>
      </c>
      <c r="F75">
        <v>51.16</v>
      </c>
      <c r="G75">
        <v>40.29</v>
      </c>
      <c r="H75">
        <v>42.9</v>
      </c>
      <c r="I75">
        <v>43.22</v>
      </c>
      <c r="J75">
        <v>44.07</v>
      </c>
      <c r="K75">
        <v>13.38</v>
      </c>
      <c r="L75">
        <v>55531.05</v>
      </c>
      <c r="M75">
        <v>51211.29</v>
      </c>
      <c r="N75">
        <v>2.16</v>
      </c>
      <c r="O75">
        <v>5.9720000000000002E-2</v>
      </c>
      <c r="P75">
        <v>1.746</v>
      </c>
      <c r="Q75">
        <v>91.72</v>
      </c>
      <c r="R75">
        <v>5.085</v>
      </c>
      <c r="S75">
        <v>62.65</v>
      </c>
    </row>
    <row r="76" spans="1:19" x14ac:dyDescent="0.3">
      <c r="A76" s="2">
        <v>44027</v>
      </c>
      <c r="B76">
        <v>33.5</v>
      </c>
      <c r="C76">
        <v>40.83</v>
      </c>
      <c r="D76">
        <v>50.12</v>
      </c>
      <c r="E76">
        <v>53.56</v>
      </c>
      <c r="F76">
        <v>51.16</v>
      </c>
      <c r="G76">
        <v>41.2</v>
      </c>
      <c r="H76">
        <v>43.79</v>
      </c>
      <c r="I76">
        <v>43.78</v>
      </c>
      <c r="J76">
        <v>44.63</v>
      </c>
      <c r="K76">
        <v>13.34</v>
      </c>
      <c r="L76">
        <v>55947.05</v>
      </c>
      <c r="M76">
        <v>51674.79</v>
      </c>
      <c r="N76">
        <v>2.1640000000000001</v>
      </c>
      <c r="O76">
        <v>6.0220000000000003E-2</v>
      </c>
      <c r="P76">
        <v>1.778</v>
      </c>
      <c r="Q76">
        <v>93.24</v>
      </c>
      <c r="R76">
        <v>5.2249999999999996</v>
      </c>
      <c r="S76">
        <v>62.53</v>
      </c>
    </row>
    <row r="77" spans="1:19" x14ac:dyDescent="0.3">
      <c r="A77" s="2">
        <v>44028</v>
      </c>
      <c r="B77">
        <v>33.5</v>
      </c>
      <c r="C77">
        <v>40.83</v>
      </c>
      <c r="D77">
        <v>50.12</v>
      </c>
      <c r="E77">
        <v>53.56</v>
      </c>
      <c r="F77">
        <v>51.16</v>
      </c>
      <c r="G77">
        <v>40.75</v>
      </c>
      <c r="H77">
        <v>43.37</v>
      </c>
      <c r="I77">
        <v>43.3</v>
      </c>
      <c r="J77">
        <v>44.28</v>
      </c>
      <c r="K77">
        <v>13.2</v>
      </c>
      <c r="L77">
        <v>55729.45</v>
      </c>
      <c r="M77">
        <v>51778.85</v>
      </c>
      <c r="N77">
        <v>2.5</v>
      </c>
      <c r="O77">
        <v>5.9540000000000003E-2</v>
      </c>
      <c r="P77">
        <v>1.7230000000000001</v>
      </c>
      <c r="Q77">
        <v>92.37</v>
      </c>
      <c r="R77">
        <v>5.0599999999999996</v>
      </c>
      <c r="S77">
        <v>61.83</v>
      </c>
    </row>
    <row r="78" spans="1:19" x14ac:dyDescent="0.3">
      <c r="A78" s="2">
        <v>44029</v>
      </c>
      <c r="B78">
        <v>33.01</v>
      </c>
      <c r="C78">
        <v>40.43</v>
      </c>
      <c r="D78">
        <v>49.88</v>
      </c>
      <c r="E78">
        <v>54.84</v>
      </c>
      <c r="F78">
        <v>51.88</v>
      </c>
      <c r="G78">
        <v>40.590000000000003</v>
      </c>
      <c r="H78">
        <v>43.14</v>
      </c>
      <c r="I78">
        <v>43</v>
      </c>
      <c r="J78">
        <v>43.52</v>
      </c>
      <c r="K78">
        <v>13.3</v>
      </c>
      <c r="L78">
        <v>55911.8</v>
      </c>
      <c r="M78">
        <v>52466.41</v>
      </c>
      <c r="N78">
        <v>2.5049999999999999</v>
      </c>
      <c r="O78">
        <v>5.9900000000000002E-2</v>
      </c>
      <c r="P78">
        <v>1.718</v>
      </c>
      <c r="Q78">
        <v>93.83</v>
      </c>
      <c r="R78">
        <v>5.1150000000000002</v>
      </c>
      <c r="S78">
        <v>62.15</v>
      </c>
    </row>
    <row r="79" spans="1:19" x14ac:dyDescent="0.3">
      <c r="A79" s="2">
        <v>44032</v>
      </c>
      <c r="B79">
        <v>33.01</v>
      </c>
      <c r="C79">
        <v>40.43</v>
      </c>
      <c r="D79">
        <v>49.88</v>
      </c>
      <c r="E79">
        <v>54.84</v>
      </c>
      <c r="F79">
        <v>51.88</v>
      </c>
      <c r="G79">
        <v>40.81</v>
      </c>
      <c r="H79">
        <v>43.28</v>
      </c>
      <c r="I79">
        <v>43.05</v>
      </c>
      <c r="J79">
        <v>42.5</v>
      </c>
      <c r="K79">
        <v>13.66</v>
      </c>
      <c r="L79">
        <v>56265.36</v>
      </c>
      <c r="M79">
        <v>53362.03</v>
      </c>
      <c r="N79">
        <v>2.4500000000000002</v>
      </c>
      <c r="O79">
        <v>6.0109999999999997E-2</v>
      </c>
      <c r="P79">
        <v>1.641</v>
      </c>
      <c r="Q79">
        <v>94.25</v>
      </c>
      <c r="R79">
        <v>4.7300000000000004</v>
      </c>
      <c r="S79">
        <v>58.6</v>
      </c>
    </row>
    <row r="80" spans="1:19" x14ac:dyDescent="0.3">
      <c r="A80" s="2">
        <v>44033</v>
      </c>
      <c r="B80">
        <v>33.01</v>
      </c>
      <c r="C80">
        <v>40.43</v>
      </c>
      <c r="D80">
        <v>49.88</v>
      </c>
      <c r="E80">
        <v>54.84</v>
      </c>
      <c r="F80">
        <v>51.88</v>
      </c>
      <c r="G80">
        <v>41.96</v>
      </c>
      <c r="H80">
        <v>44.32</v>
      </c>
      <c r="I80">
        <v>43.58</v>
      </c>
      <c r="J80">
        <v>44.65</v>
      </c>
      <c r="K80">
        <v>13.72</v>
      </c>
      <c r="L80">
        <v>56422.14</v>
      </c>
      <c r="M80">
        <v>52407.81</v>
      </c>
      <c r="N80">
        <v>2.4750000000000001</v>
      </c>
      <c r="O80">
        <v>6.089E-2</v>
      </c>
      <c r="P80">
        <v>1.675</v>
      </c>
      <c r="Q80">
        <v>95.11</v>
      </c>
      <c r="R80">
        <v>4.79</v>
      </c>
      <c r="S80">
        <v>57.63</v>
      </c>
    </row>
    <row r="81" spans="1:19" x14ac:dyDescent="0.3">
      <c r="A81" s="2">
        <v>44034</v>
      </c>
      <c r="B81">
        <v>33.01</v>
      </c>
      <c r="C81">
        <v>40.43</v>
      </c>
      <c r="D81">
        <v>49.88</v>
      </c>
      <c r="E81">
        <v>54.84</v>
      </c>
      <c r="F81">
        <v>51.88</v>
      </c>
      <c r="G81">
        <v>41.9</v>
      </c>
      <c r="H81">
        <v>44.29</v>
      </c>
      <c r="I81">
        <v>43.62</v>
      </c>
      <c r="J81">
        <v>43.61</v>
      </c>
      <c r="K81">
        <v>13.5</v>
      </c>
      <c r="L81">
        <v>55834.239999999998</v>
      </c>
      <c r="M81">
        <v>52215.199999999997</v>
      </c>
      <c r="N81">
        <v>2.5</v>
      </c>
      <c r="O81">
        <v>6.0630000000000003E-2</v>
      </c>
      <c r="P81">
        <v>1.681</v>
      </c>
      <c r="Q81">
        <v>96.06</v>
      </c>
      <c r="R81">
        <v>4.83</v>
      </c>
      <c r="S81">
        <v>58.17</v>
      </c>
    </row>
    <row r="82" spans="1:19" x14ac:dyDescent="0.3">
      <c r="A82" s="2">
        <v>44035</v>
      </c>
      <c r="B82">
        <v>33.01</v>
      </c>
      <c r="C82">
        <v>40.43</v>
      </c>
      <c r="D82">
        <v>49.88</v>
      </c>
      <c r="E82">
        <v>54.84</v>
      </c>
      <c r="F82">
        <v>51.88</v>
      </c>
      <c r="G82">
        <v>41.07</v>
      </c>
      <c r="H82">
        <v>43.31</v>
      </c>
      <c r="I82">
        <v>43.3</v>
      </c>
      <c r="J82">
        <v>43.7</v>
      </c>
      <c r="K82">
        <v>13.36</v>
      </c>
      <c r="L82">
        <v>56070.7</v>
      </c>
      <c r="M82">
        <v>53412.49</v>
      </c>
      <c r="N82">
        <v>2.57</v>
      </c>
      <c r="O82">
        <v>5.9959999999999999E-2</v>
      </c>
      <c r="P82">
        <v>1.7849999999999999</v>
      </c>
      <c r="Q82">
        <v>95.85</v>
      </c>
      <c r="R82">
        <v>4.9850000000000003</v>
      </c>
      <c r="S82">
        <v>57.68</v>
      </c>
    </row>
    <row r="83" spans="1:19" x14ac:dyDescent="0.3">
      <c r="A83" s="2">
        <v>44036</v>
      </c>
      <c r="B83">
        <v>32.56</v>
      </c>
      <c r="C83">
        <v>40.01</v>
      </c>
      <c r="D83">
        <v>49.17</v>
      </c>
      <c r="E83">
        <v>53.33</v>
      </c>
      <c r="F83">
        <v>50.61</v>
      </c>
      <c r="G83">
        <v>41.29</v>
      </c>
      <c r="H83">
        <v>43.34</v>
      </c>
      <c r="I83">
        <v>43.28</v>
      </c>
      <c r="J83">
        <v>43.43</v>
      </c>
      <c r="K83">
        <v>13.12</v>
      </c>
      <c r="L83">
        <v>55645.65</v>
      </c>
      <c r="M83">
        <v>53819.09</v>
      </c>
      <c r="N83">
        <v>2.5950000000000002</v>
      </c>
      <c r="O83">
        <v>6.0100000000000001E-2</v>
      </c>
      <c r="P83">
        <v>1.8080000000000001</v>
      </c>
      <c r="Q83">
        <v>96.32</v>
      </c>
      <c r="R83">
        <v>5.01</v>
      </c>
      <c r="S83">
        <v>58.3</v>
      </c>
    </row>
    <row r="84" spans="1:19" x14ac:dyDescent="0.3">
      <c r="A84" s="2">
        <v>44039</v>
      </c>
      <c r="B84">
        <v>32.56</v>
      </c>
      <c r="C84">
        <v>40.01</v>
      </c>
      <c r="D84">
        <v>49.17</v>
      </c>
      <c r="E84">
        <v>53.33</v>
      </c>
      <c r="F84">
        <v>50.61</v>
      </c>
      <c r="G84">
        <v>41.6</v>
      </c>
      <c r="H84">
        <v>43.41</v>
      </c>
      <c r="I84">
        <v>43.33</v>
      </c>
      <c r="J84">
        <v>44.07</v>
      </c>
      <c r="K84">
        <v>13.3</v>
      </c>
      <c r="L84">
        <v>56326.2</v>
      </c>
      <c r="M84">
        <v>55785.440000000002</v>
      </c>
      <c r="N84">
        <v>2.6850000000000001</v>
      </c>
      <c r="O84">
        <v>6.087E-2</v>
      </c>
      <c r="P84">
        <v>1.734</v>
      </c>
      <c r="Q84">
        <v>94.54</v>
      </c>
      <c r="R84">
        <v>4.7850000000000001</v>
      </c>
      <c r="S84">
        <v>57.75</v>
      </c>
    </row>
    <row r="85" spans="1:19" x14ac:dyDescent="0.3">
      <c r="A85" s="2">
        <v>44040</v>
      </c>
      <c r="B85">
        <v>32.56</v>
      </c>
      <c r="C85">
        <v>40.01</v>
      </c>
      <c r="D85">
        <v>49.17</v>
      </c>
      <c r="E85">
        <v>53.33</v>
      </c>
      <c r="F85">
        <v>50.61</v>
      </c>
      <c r="G85">
        <v>41.04</v>
      </c>
      <c r="H85">
        <v>43.22</v>
      </c>
      <c r="I85">
        <v>43.28</v>
      </c>
      <c r="J85">
        <v>43.55</v>
      </c>
      <c r="K85">
        <v>13.12</v>
      </c>
      <c r="L85">
        <v>56488.11</v>
      </c>
      <c r="M85">
        <v>55496.23</v>
      </c>
      <c r="N85">
        <v>2.7</v>
      </c>
      <c r="O85">
        <v>6.0479999999999999E-2</v>
      </c>
      <c r="P85">
        <v>1.8</v>
      </c>
      <c r="Q85">
        <v>92.92</v>
      </c>
      <c r="R85">
        <v>4.96</v>
      </c>
      <c r="S85">
        <v>58.45</v>
      </c>
    </row>
    <row r="86" spans="1:19" x14ac:dyDescent="0.3">
      <c r="A86" s="2">
        <v>44041</v>
      </c>
      <c r="B86">
        <v>32.56</v>
      </c>
      <c r="C86">
        <v>40.01</v>
      </c>
      <c r="D86">
        <v>49.17</v>
      </c>
      <c r="E86">
        <v>53.33</v>
      </c>
      <c r="F86">
        <v>50.61</v>
      </c>
      <c r="G86">
        <v>41.27</v>
      </c>
      <c r="H86">
        <v>43.75</v>
      </c>
      <c r="I86">
        <v>43.29</v>
      </c>
      <c r="J86">
        <v>44.03</v>
      </c>
      <c r="K86">
        <v>13.1</v>
      </c>
      <c r="L86">
        <v>56707.74</v>
      </c>
      <c r="M86">
        <v>54658.65</v>
      </c>
      <c r="N86">
        <v>2.66</v>
      </c>
      <c r="O86">
        <v>6.037E-2</v>
      </c>
      <c r="P86">
        <v>1.8540000000000001</v>
      </c>
      <c r="Q86">
        <v>94.3</v>
      </c>
      <c r="R86">
        <v>5.1749999999999998</v>
      </c>
      <c r="S86">
        <v>60.4</v>
      </c>
    </row>
    <row r="87" spans="1:19" x14ac:dyDescent="0.3">
      <c r="A87" s="2">
        <v>44042</v>
      </c>
      <c r="B87">
        <v>32.56</v>
      </c>
      <c r="C87">
        <v>40.01</v>
      </c>
      <c r="D87">
        <v>49.17</v>
      </c>
      <c r="E87">
        <v>53.33</v>
      </c>
      <c r="F87">
        <v>50.61</v>
      </c>
      <c r="G87">
        <v>39.92</v>
      </c>
      <c r="H87">
        <v>42.94</v>
      </c>
      <c r="I87">
        <v>43.28</v>
      </c>
      <c r="J87">
        <v>41.87</v>
      </c>
      <c r="K87">
        <v>12.88</v>
      </c>
      <c r="L87">
        <v>55844.9</v>
      </c>
      <c r="M87">
        <v>53698.98</v>
      </c>
      <c r="N87">
        <v>2.6150000000000002</v>
      </c>
      <c r="O87">
        <v>5.9619999999999999E-2</v>
      </c>
      <c r="P87">
        <v>1.829</v>
      </c>
      <c r="Q87">
        <v>94.37</v>
      </c>
      <c r="R87">
        <v>5.2249999999999996</v>
      </c>
      <c r="S87">
        <v>60.03</v>
      </c>
    </row>
    <row r="88" spans="1:19" x14ac:dyDescent="0.3">
      <c r="A88" s="2">
        <v>44043</v>
      </c>
      <c r="B88">
        <v>32.07</v>
      </c>
      <c r="C88">
        <v>39.97</v>
      </c>
      <c r="D88">
        <v>48.83</v>
      </c>
      <c r="E88">
        <v>52.12</v>
      </c>
      <c r="F88">
        <v>49.7</v>
      </c>
      <c r="G88">
        <v>40.270000000000003</v>
      </c>
      <c r="H88">
        <v>43.3</v>
      </c>
      <c r="I88">
        <v>42.54</v>
      </c>
      <c r="J88">
        <v>42.08</v>
      </c>
      <c r="K88">
        <v>12.92</v>
      </c>
      <c r="L88">
        <v>55721.8</v>
      </c>
      <c r="M88">
        <v>53888.94</v>
      </c>
      <c r="N88">
        <v>2.56</v>
      </c>
      <c r="O88">
        <v>5.8549999999999998E-2</v>
      </c>
      <c r="P88">
        <v>1.7989999999999999</v>
      </c>
      <c r="Q88">
        <v>96.78</v>
      </c>
      <c r="R88">
        <v>6.0250000000000004</v>
      </c>
      <c r="S88">
        <v>59.73</v>
      </c>
    </row>
    <row r="89" spans="1:19" x14ac:dyDescent="0.3">
      <c r="A89" s="2">
        <v>44046</v>
      </c>
      <c r="B89">
        <v>32.07</v>
      </c>
      <c r="C89">
        <v>39.97</v>
      </c>
      <c r="D89">
        <v>48.83</v>
      </c>
      <c r="E89">
        <v>52.12</v>
      </c>
      <c r="F89">
        <v>49.7</v>
      </c>
      <c r="G89">
        <v>41.01</v>
      </c>
      <c r="H89">
        <v>44.15</v>
      </c>
      <c r="I89">
        <v>43.39</v>
      </c>
      <c r="J89">
        <v>42.25</v>
      </c>
      <c r="K89">
        <v>13</v>
      </c>
      <c r="L89">
        <v>55829.4</v>
      </c>
      <c r="M89">
        <v>54766.82</v>
      </c>
      <c r="N89">
        <v>2.6850000000000001</v>
      </c>
      <c r="O89">
        <v>5.8130000000000001E-2</v>
      </c>
      <c r="P89">
        <v>2.101</v>
      </c>
      <c r="Q89">
        <v>96.28</v>
      </c>
      <c r="R89">
        <v>6.8</v>
      </c>
      <c r="S89">
        <v>58.52</v>
      </c>
    </row>
    <row r="90" spans="1:19" x14ac:dyDescent="0.3">
      <c r="A90" s="2">
        <v>44047</v>
      </c>
      <c r="B90">
        <v>32.07</v>
      </c>
      <c r="C90">
        <v>39.97</v>
      </c>
      <c r="D90">
        <v>48.83</v>
      </c>
      <c r="E90">
        <v>52.12</v>
      </c>
      <c r="F90">
        <v>49.7</v>
      </c>
      <c r="G90">
        <v>41.7</v>
      </c>
      <c r="H90">
        <v>44.43</v>
      </c>
      <c r="I90">
        <v>43.4</v>
      </c>
      <c r="J90">
        <v>43.47</v>
      </c>
      <c r="K90">
        <v>13.02</v>
      </c>
      <c r="L90">
        <v>56248.93</v>
      </c>
      <c r="M90">
        <v>55414.080000000002</v>
      </c>
      <c r="N90">
        <v>2.6850000000000001</v>
      </c>
      <c r="O90">
        <v>5.7480000000000003E-2</v>
      </c>
      <c r="P90">
        <v>2.1930000000000001</v>
      </c>
      <c r="Q90">
        <v>95.78</v>
      </c>
      <c r="R90">
        <v>7.3550000000000004</v>
      </c>
      <c r="S90">
        <v>59.68</v>
      </c>
    </row>
    <row r="91" spans="1:19" x14ac:dyDescent="0.3">
      <c r="A91" s="2">
        <v>44048</v>
      </c>
      <c r="B91">
        <v>32.07</v>
      </c>
      <c r="C91">
        <v>39.97</v>
      </c>
      <c r="D91">
        <v>48.83</v>
      </c>
      <c r="E91">
        <v>52.12</v>
      </c>
      <c r="F91">
        <v>49.7</v>
      </c>
      <c r="G91">
        <v>42.19</v>
      </c>
      <c r="H91">
        <v>45.17</v>
      </c>
      <c r="I91">
        <v>43.88</v>
      </c>
      <c r="J91">
        <v>43.85</v>
      </c>
      <c r="K91">
        <v>13.1</v>
      </c>
      <c r="L91">
        <v>57629.36</v>
      </c>
      <c r="M91">
        <v>58112.92</v>
      </c>
      <c r="N91">
        <v>2.73</v>
      </c>
      <c r="O91">
        <v>5.7700000000000001E-2</v>
      </c>
      <c r="P91">
        <v>2.1909999999999998</v>
      </c>
      <c r="Q91">
        <v>96.16</v>
      </c>
      <c r="R91">
        <v>7.32</v>
      </c>
      <c r="S91">
        <v>60.87</v>
      </c>
    </row>
    <row r="92" spans="1:19" x14ac:dyDescent="0.3">
      <c r="A92" s="2">
        <v>44049</v>
      </c>
      <c r="B92">
        <v>32.07</v>
      </c>
      <c r="C92">
        <v>39.97</v>
      </c>
      <c r="D92">
        <v>48.83</v>
      </c>
      <c r="E92">
        <v>52.12</v>
      </c>
      <c r="F92">
        <v>49.7</v>
      </c>
      <c r="G92">
        <v>41.95</v>
      </c>
      <c r="H92">
        <v>45.09</v>
      </c>
      <c r="I92">
        <v>43.61</v>
      </c>
      <c r="J92">
        <v>43.64</v>
      </c>
      <c r="K92">
        <v>12.9</v>
      </c>
      <c r="L92">
        <v>57656.69</v>
      </c>
      <c r="M92">
        <v>58099.68</v>
      </c>
      <c r="N92">
        <v>2.7749999999999999</v>
      </c>
      <c r="O92">
        <v>5.7349999999999998E-2</v>
      </c>
      <c r="P92">
        <v>2.165</v>
      </c>
      <c r="Q92">
        <v>97.46</v>
      </c>
      <c r="R92">
        <v>7.94</v>
      </c>
      <c r="S92">
        <v>62.35</v>
      </c>
    </row>
    <row r="93" spans="1:19" x14ac:dyDescent="0.3">
      <c r="A93" s="2">
        <v>44050</v>
      </c>
      <c r="B93">
        <v>33.21</v>
      </c>
      <c r="C93">
        <v>41.52</v>
      </c>
      <c r="D93">
        <v>50.12</v>
      </c>
      <c r="E93">
        <v>54.02</v>
      </c>
      <c r="F93">
        <v>51.84</v>
      </c>
      <c r="G93">
        <v>41.22</v>
      </c>
      <c r="H93">
        <v>44.4</v>
      </c>
      <c r="I93">
        <v>43.33</v>
      </c>
      <c r="J93">
        <v>43.44</v>
      </c>
      <c r="K93">
        <v>12.8</v>
      </c>
      <c r="L93">
        <v>56757.73</v>
      </c>
      <c r="M93">
        <v>56818.48</v>
      </c>
      <c r="N93">
        <v>2.7850000000000001</v>
      </c>
      <c r="O93">
        <v>5.6669999999999998E-2</v>
      </c>
      <c r="P93">
        <v>2.238</v>
      </c>
      <c r="Q93">
        <v>100.96</v>
      </c>
      <c r="R93">
        <v>7.93</v>
      </c>
      <c r="S93">
        <v>61.18</v>
      </c>
    </row>
    <row r="94" spans="1:19" x14ac:dyDescent="0.3">
      <c r="A94" s="2">
        <v>44053</v>
      </c>
      <c r="B94">
        <v>33.21</v>
      </c>
      <c r="C94">
        <v>41.52</v>
      </c>
      <c r="D94">
        <v>50.12</v>
      </c>
      <c r="E94">
        <v>54.02</v>
      </c>
      <c r="F94">
        <v>51.84</v>
      </c>
      <c r="G94">
        <v>41.94</v>
      </c>
      <c r="H94">
        <v>44.99</v>
      </c>
      <c r="I94">
        <v>43.78</v>
      </c>
      <c r="J94">
        <v>44.51</v>
      </c>
      <c r="K94">
        <v>12.6</v>
      </c>
      <c r="L94">
        <v>68736.904810964072</v>
      </c>
      <c r="M94">
        <v>52972.178374291107</v>
      </c>
      <c r="N94">
        <v>2.84</v>
      </c>
      <c r="O94">
        <v>5.6500000000000002E-2</v>
      </c>
      <c r="P94">
        <v>2.153</v>
      </c>
      <c r="Q94">
        <v>99.16</v>
      </c>
      <c r="R94">
        <v>7.59</v>
      </c>
      <c r="S94">
        <v>64.819999999999993</v>
      </c>
    </row>
    <row r="95" spans="1:19" x14ac:dyDescent="0.3">
      <c r="A95" s="2">
        <v>44054</v>
      </c>
      <c r="B95">
        <v>33.21</v>
      </c>
      <c r="C95">
        <v>41.52</v>
      </c>
      <c r="D95">
        <v>50.12</v>
      </c>
      <c r="E95">
        <v>54.02</v>
      </c>
      <c r="F95">
        <v>51.84</v>
      </c>
      <c r="G95">
        <v>41.61</v>
      </c>
      <c r="H95">
        <v>44.5</v>
      </c>
      <c r="I95">
        <v>43.38</v>
      </c>
      <c r="J95">
        <v>44.97</v>
      </c>
      <c r="K95">
        <v>12.72</v>
      </c>
      <c r="L95">
        <v>57168.24</v>
      </c>
      <c r="M95">
        <v>56212.480000000003</v>
      </c>
      <c r="N95">
        <v>2.875</v>
      </c>
      <c r="O95">
        <v>5.7169999999999999E-2</v>
      </c>
      <c r="P95">
        <v>2.1709999999999998</v>
      </c>
      <c r="Q95">
        <v>98.61</v>
      </c>
      <c r="R95">
        <v>7.415</v>
      </c>
      <c r="S95">
        <v>63.78</v>
      </c>
    </row>
    <row r="96" spans="1:19" x14ac:dyDescent="0.3">
      <c r="A96" s="2">
        <v>44055</v>
      </c>
      <c r="B96">
        <v>33.21</v>
      </c>
      <c r="C96">
        <v>41.52</v>
      </c>
      <c r="D96">
        <v>50.12</v>
      </c>
      <c r="E96">
        <v>54.02</v>
      </c>
      <c r="F96">
        <v>51.84</v>
      </c>
      <c r="G96">
        <v>42.67</v>
      </c>
      <c r="H96">
        <v>45.43</v>
      </c>
      <c r="I96">
        <v>43.97</v>
      </c>
      <c r="J96">
        <v>44.09</v>
      </c>
      <c r="K96">
        <v>13</v>
      </c>
      <c r="L96">
        <v>57417.279999999999</v>
      </c>
      <c r="M96">
        <v>56591.18</v>
      </c>
      <c r="N96">
        <v>2.88</v>
      </c>
      <c r="O96">
        <v>5.7230000000000003E-2</v>
      </c>
      <c r="P96">
        <v>2.1520000000000001</v>
      </c>
      <c r="Q96">
        <v>99.43</v>
      </c>
      <c r="R96">
        <v>7.17</v>
      </c>
      <c r="S96">
        <v>64.08</v>
      </c>
    </row>
    <row r="97" spans="1:19" x14ac:dyDescent="0.3">
      <c r="A97" s="2">
        <v>44056</v>
      </c>
      <c r="B97">
        <v>33.21</v>
      </c>
      <c r="C97">
        <v>41.52</v>
      </c>
      <c r="D97">
        <v>50.12</v>
      </c>
      <c r="E97">
        <v>54.02</v>
      </c>
      <c r="F97">
        <v>51.84</v>
      </c>
      <c r="G97">
        <v>42.24</v>
      </c>
      <c r="H97">
        <v>44.96</v>
      </c>
      <c r="I97">
        <v>43.59</v>
      </c>
      <c r="J97">
        <v>43.01</v>
      </c>
      <c r="K97">
        <v>13.02</v>
      </c>
      <c r="L97">
        <v>57419.46</v>
      </c>
      <c r="M97">
        <v>56655.72</v>
      </c>
      <c r="N97">
        <v>2.8849999999999998</v>
      </c>
      <c r="O97">
        <v>5.7349999999999998E-2</v>
      </c>
      <c r="P97">
        <v>2.1819999999999999</v>
      </c>
      <c r="Q97">
        <v>100.2</v>
      </c>
      <c r="R97">
        <v>7.31</v>
      </c>
      <c r="S97">
        <v>63.33</v>
      </c>
    </row>
    <row r="98" spans="1:19" x14ac:dyDescent="0.3">
      <c r="A98" s="2">
        <v>44057</v>
      </c>
      <c r="B98">
        <v>32.24</v>
      </c>
      <c r="C98">
        <v>41.5</v>
      </c>
      <c r="D98">
        <v>49.83</v>
      </c>
      <c r="E98">
        <v>54.21</v>
      </c>
      <c r="F98">
        <v>53.43</v>
      </c>
      <c r="G98">
        <v>42.01</v>
      </c>
      <c r="H98">
        <v>44.8</v>
      </c>
      <c r="I98">
        <v>43.39</v>
      </c>
      <c r="J98">
        <v>43.2</v>
      </c>
      <c r="K98">
        <v>12.86</v>
      </c>
      <c r="L98">
        <v>57077.48</v>
      </c>
      <c r="M98">
        <v>56628.52</v>
      </c>
      <c r="N98">
        <v>2.8980000000000001</v>
      </c>
      <c r="O98">
        <v>5.747E-2</v>
      </c>
      <c r="P98">
        <v>2.3559999999999999</v>
      </c>
      <c r="Q98">
        <v>102.49</v>
      </c>
      <c r="R98">
        <v>8.02</v>
      </c>
      <c r="S98">
        <v>61.8</v>
      </c>
    </row>
    <row r="99" spans="1:19" x14ac:dyDescent="0.3">
      <c r="A99" s="2">
        <v>44060</v>
      </c>
      <c r="B99">
        <v>32.24</v>
      </c>
      <c r="C99">
        <v>41.5</v>
      </c>
      <c r="D99">
        <v>49.83</v>
      </c>
      <c r="E99">
        <v>54.21</v>
      </c>
      <c r="F99">
        <v>53.43</v>
      </c>
      <c r="G99">
        <v>42.89</v>
      </c>
      <c r="H99">
        <v>45.37</v>
      </c>
      <c r="I99">
        <v>43.78</v>
      </c>
      <c r="J99">
        <v>42.64</v>
      </c>
      <c r="K99">
        <v>13.02</v>
      </c>
      <c r="L99">
        <v>57435.08</v>
      </c>
      <c r="M99">
        <v>58077.94</v>
      </c>
      <c r="N99">
        <v>4.1749999999999998</v>
      </c>
      <c r="O99">
        <v>5.7070000000000003E-2</v>
      </c>
      <c r="P99">
        <v>2.339</v>
      </c>
      <c r="Q99">
        <v>104.05</v>
      </c>
      <c r="R99">
        <v>8.18</v>
      </c>
      <c r="S99">
        <v>61.87</v>
      </c>
    </row>
    <row r="100" spans="1:19" x14ac:dyDescent="0.3">
      <c r="A100" s="2">
        <v>44061</v>
      </c>
      <c r="B100">
        <v>32.24</v>
      </c>
      <c r="C100">
        <v>41.5</v>
      </c>
      <c r="D100">
        <v>49.83</v>
      </c>
      <c r="E100">
        <v>54.21</v>
      </c>
      <c r="F100">
        <v>53.43</v>
      </c>
      <c r="G100">
        <v>42.89</v>
      </c>
      <c r="H100">
        <v>45.46</v>
      </c>
      <c r="I100">
        <v>43.96</v>
      </c>
      <c r="J100">
        <v>42.43</v>
      </c>
      <c r="K100">
        <v>12.84</v>
      </c>
      <c r="L100">
        <v>57025.16</v>
      </c>
      <c r="M100">
        <v>57032.62</v>
      </c>
      <c r="N100">
        <v>4.22</v>
      </c>
      <c r="O100">
        <v>5.7709999999999997E-2</v>
      </c>
      <c r="P100">
        <v>2.4169999999999998</v>
      </c>
      <c r="Q100">
        <v>104.38</v>
      </c>
      <c r="R100">
        <v>8.5500000000000007</v>
      </c>
      <c r="S100">
        <v>61.73</v>
      </c>
    </row>
    <row r="101" spans="1:19" x14ac:dyDescent="0.3">
      <c r="A101" s="2">
        <v>44062</v>
      </c>
      <c r="B101">
        <v>32.24</v>
      </c>
      <c r="C101">
        <v>41.5</v>
      </c>
      <c r="D101">
        <v>49.83</v>
      </c>
      <c r="E101">
        <v>54.21</v>
      </c>
      <c r="F101">
        <v>53.43</v>
      </c>
      <c r="G101">
        <v>42.93</v>
      </c>
      <c r="H101">
        <v>45.37</v>
      </c>
      <c r="I101">
        <v>43.96</v>
      </c>
      <c r="J101">
        <v>41.96</v>
      </c>
      <c r="K101">
        <v>12.84</v>
      </c>
      <c r="L101">
        <v>56433.279999999999</v>
      </c>
      <c r="M101">
        <v>56145.79</v>
      </c>
      <c r="N101">
        <v>4.09</v>
      </c>
      <c r="O101">
        <v>5.7869999999999998E-2</v>
      </c>
      <c r="P101">
        <v>2.4260000000000002</v>
      </c>
      <c r="Q101">
        <v>103.53</v>
      </c>
      <c r="R101">
        <v>8.3550000000000004</v>
      </c>
      <c r="S101">
        <v>63.37</v>
      </c>
    </row>
    <row r="102" spans="1:19" x14ac:dyDescent="0.3">
      <c r="A102" s="2">
        <v>44063</v>
      </c>
      <c r="B102">
        <v>32.24</v>
      </c>
      <c r="C102">
        <v>41.5</v>
      </c>
      <c r="D102">
        <v>49.83</v>
      </c>
      <c r="E102">
        <v>54.21</v>
      </c>
      <c r="F102">
        <v>53.43</v>
      </c>
      <c r="G102">
        <v>42.58</v>
      </c>
      <c r="H102">
        <v>44.9</v>
      </c>
      <c r="I102">
        <v>43.78</v>
      </c>
      <c r="J102">
        <v>41.32</v>
      </c>
      <c r="K102">
        <v>12.58</v>
      </c>
      <c r="L102">
        <v>55629.98</v>
      </c>
      <c r="M102">
        <v>54950.65</v>
      </c>
      <c r="N102">
        <v>3.9249999999999998</v>
      </c>
      <c r="O102">
        <v>5.7880000000000001E-2</v>
      </c>
      <c r="P102">
        <v>2.3519999999999999</v>
      </c>
      <c r="Q102">
        <v>103.75</v>
      </c>
      <c r="R102">
        <v>8.15</v>
      </c>
      <c r="S102">
        <v>63.15</v>
      </c>
    </row>
    <row r="103" spans="1:19" x14ac:dyDescent="0.3">
      <c r="A103" s="2">
        <v>44064</v>
      </c>
      <c r="B103">
        <v>34</v>
      </c>
      <c r="C103">
        <v>44.09</v>
      </c>
      <c r="D103">
        <v>51.33</v>
      </c>
      <c r="E103">
        <v>56.36</v>
      </c>
      <c r="F103">
        <v>54.22</v>
      </c>
      <c r="G103">
        <v>42.34</v>
      </c>
      <c r="H103">
        <v>44.35</v>
      </c>
      <c r="I103">
        <v>43.69</v>
      </c>
      <c r="J103">
        <v>41.01</v>
      </c>
      <c r="K103">
        <v>12.58</v>
      </c>
      <c r="L103">
        <v>55949.919999999998</v>
      </c>
      <c r="M103">
        <v>54309.24</v>
      </c>
      <c r="N103">
        <v>3.7050000000000001</v>
      </c>
      <c r="O103">
        <v>5.8250000000000003E-2</v>
      </c>
      <c r="P103">
        <v>2.448</v>
      </c>
      <c r="Q103">
        <v>104.2</v>
      </c>
      <c r="R103">
        <v>7.62</v>
      </c>
      <c r="S103">
        <v>62.9</v>
      </c>
    </row>
    <row r="104" spans="1:19" x14ac:dyDescent="0.3">
      <c r="A104" s="2">
        <v>44067</v>
      </c>
      <c r="B104">
        <v>34</v>
      </c>
      <c r="C104">
        <v>44.09</v>
      </c>
      <c r="D104">
        <v>51.33</v>
      </c>
      <c r="E104">
        <v>56.36</v>
      </c>
      <c r="F104">
        <v>54.22</v>
      </c>
      <c r="G104">
        <v>42.62</v>
      </c>
      <c r="H104">
        <v>45.13</v>
      </c>
      <c r="I104">
        <v>43.91</v>
      </c>
      <c r="J104">
        <v>42.22</v>
      </c>
      <c r="K104">
        <v>12.52</v>
      </c>
      <c r="L104">
        <v>56625.42</v>
      </c>
      <c r="M104">
        <v>54576.959999999999</v>
      </c>
      <c r="N104">
        <v>3.9049999999999998</v>
      </c>
      <c r="O104">
        <v>5.8979999999999998E-2</v>
      </c>
      <c r="P104">
        <v>2.5129999999999999</v>
      </c>
      <c r="Q104">
        <v>105.81</v>
      </c>
      <c r="R104">
        <v>8.36</v>
      </c>
      <c r="S104">
        <v>63.77</v>
      </c>
    </row>
    <row r="105" spans="1:19" x14ac:dyDescent="0.3">
      <c r="A105" s="2">
        <v>44068</v>
      </c>
      <c r="B105">
        <v>34</v>
      </c>
      <c r="C105">
        <v>44.09</v>
      </c>
      <c r="D105">
        <v>51.33</v>
      </c>
      <c r="E105">
        <v>56.36</v>
      </c>
      <c r="F105">
        <v>54.22</v>
      </c>
      <c r="G105">
        <v>43.35</v>
      </c>
      <c r="H105">
        <v>45.86</v>
      </c>
      <c r="I105">
        <v>44</v>
      </c>
      <c r="J105">
        <v>40.880000000000003</v>
      </c>
      <c r="K105">
        <v>12.6</v>
      </c>
      <c r="L105">
        <v>56114.23</v>
      </c>
      <c r="M105">
        <v>52987.21</v>
      </c>
      <c r="N105">
        <v>4.0250000000000004</v>
      </c>
      <c r="O105">
        <v>5.9330000000000001E-2</v>
      </c>
      <c r="P105">
        <v>2.4889999999999999</v>
      </c>
      <c r="Q105">
        <v>104.44</v>
      </c>
      <c r="R105">
        <v>8.8650000000000002</v>
      </c>
      <c r="S105">
        <v>64.099999999999994</v>
      </c>
    </row>
    <row r="106" spans="1:19" x14ac:dyDescent="0.3">
      <c r="A106" s="2">
        <v>44069</v>
      </c>
      <c r="B106">
        <v>34</v>
      </c>
      <c r="C106">
        <v>44.09</v>
      </c>
      <c r="D106">
        <v>51.33</v>
      </c>
      <c r="E106">
        <v>56.36</v>
      </c>
      <c r="F106">
        <v>54.22</v>
      </c>
      <c r="G106">
        <v>43.39</v>
      </c>
      <c r="H106">
        <v>45.64</v>
      </c>
      <c r="I106">
        <v>43.96</v>
      </c>
      <c r="J106">
        <v>40.01</v>
      </c>
      <c r="K106">
        <v>12.6</v>
      </c>
      <c r="L106">
        <v>56572.24</v>
      </c>
      <c r="M106">
        <v>53710.8</v>
      </c>
      <c r="N106">
        <v>4.1050000000000004</v>
      </c>
      <c r="O106">
        <v>5.9229999999999998E-2</v>
      </c>
      <c r="P106">
        <v>2.4609999999999999</v>
      </c>
      <c r="Q106">
        <v>105</v>
      </c>
      <c r="R106">
        <v>9.15</v>
      </c>
      <c r="S106">
        <v>63.68</v>
      </c>
    </row>
    <row r="107" spans="1:19" x14ac:dyDescent="0.3">
      <c r="A107" s="2">
        <v>44070</v>
      </c>
      <c r="B107">
        <v>34</v>
      </c>
      <c r="C107">
        <v>44.09</v>
      </c>
      <c r="D107">
        <v>51.33</v>
      </c>
      <c r="E107">
        <v>56.36</v>
      </c>
      <c r="F107">
        <v>54.22</v>
      </c>
      <c r="G107">
        <v>43.04</v>
      </c>
      <c r="H107">
        <v>45.09</v>
      </c>
      <c r="I107">
        <v>43.96</v>
      </c>
      <c r="J107">
        <v>39.74</v>
      </c>
      <c r="K107">
        <v>12.6</v>
      </c>
      <c r="L107">
        <v>56869.67</v>
      </c>
      <c r="M107">
        <v>53537.23</v>
      </c>
      <c r="N107">
        <v>3.9750000000000001</v>
      </c>
      <c r="O107">
        <v>5.8630000000000002E-2</v>
      </c>
      <c r="P107">
        <v>2.5790000000000002</v>
      </c>
      <c r="Q107">
        <v>105.01</v>
      </c>
      <c r="R107">
        <v>8.8699999999999992</v>
      </c>
      <c r="S107">
        <v>63.8</v>
      </c>
    </row>
    <row r="108" spans="1:19" x14ac:dyDescent="0.3">
      <c r="A108" s="2">
        <v>44071</v>
      </c>
      <c r="B108">
        <v>33.42</v>
      </c>
      <c r="C108">
        <v>44.2</v>
      </c>
      <c r="D108">
        <v>51.22</v>
      </c>
      <c r="E108">
        <v>55.91</v>
      </c>
      <c r="F108">
        <v>55.28</v>
      </c>
      <c r="G108">
        <v>42.97</v>
      </c>
      <c r="H108">
        <v>45.05</v>
      </c>
      <c r="I108">
        <v>43.94</v>
      </c>
      <c r="J108">
        <v>40.69</v>
      </c>
      <c r="K108">
        <v>12.58</v>
      </c>
      <c r="L108">
        <v>56057.1</v>
      </c>
      <c r="M108">
        <v>53791.65</v>
      </c>
      <c r="N108">
        <v>4.2249999999999996</v>
      </c>
      <c r="O108">
        <v>6.0240000000000002E-2</v>
      </c>
      <c r="P108">
        <v>2.657</v>
      </c>
      <c r="Q108">
        <v>105.56</v>
      </c>
      <c r="R108">
        <v>11.17</v>
      </c>
      <c r="S108">
        <v>64.27</v>
      </c>
    </row>
    <row r="109" spans="1:19" x14ac:dyDescent="0.3">
      <c r="A109" s="2">
        <v>44074</v>
      </c>
      <c r="B109">
        <v>87.953183520599239</v>
      </c>
      <c r="C109">
        <v>113.3531554307116</v>
      </c>
      <c r="D109">
        <v>134.97180711610491</v>
      </c>
      <c r="E109">
        <v>55.91</v>
      </c>
      <c r="F109">
        <v>123.75970973782771</v>
      </c>
      <c r="G109">
        <v>42.61</v>
      </c>
      <c r="H109">
        <v>45.28</v>
      </c>
      <c r="I109">
        <v>43.99</v>
      </c>
      <c r="J109">
        <v>39.94</v>
      </c>
      <c r="K109">
        <v>12.94</v>
      </c>
      <c r="L109">
        <v>55476.11</v>
      </c>
      <c r="M109">
        <v>53881.96</v>
      </c>
      <c r="N109">
        <v>4.2249999999999996</v>
      </c>
      <c r="O109">
        <v>5.8999999999999997E-2</v>
      </c>
      <c r="P109">
        <v>2.63</v>
      </c>
      <c r="Q109">
        <v>106.23</v>
      </c>
      <c r="R109">
        <v>11.24</v>
      </c>
      <c r="S109">
        <v>64.28</v>
      </c>
    </row>
    <row r="110" spans="1:19" x14ac:dyDescent="0.3">
      <c r="A110" s="2">
        <v>44075</v>
      </c>
      <c r="B110">
        <v>33.42</v>
      </c>
      <c r="C110">
        <v>44.2</v>
      </c>
      <c r="D110">
        <v>51.22</v>
      </c>
      <c r="E110">
        <v>55.91</v>
      </c>
      <c r="F110">
        <v>55.28</v>
      </c>
      <c r="G110">
        <v>42.76</v>
      </c>
      <c r="H110">
        <v>45.58</v>
      </c>
      <c r="I110">
        <v>44.85</v>
      </c>
      <c r="J110">
        <v>39.43</v>
      </c>
      <c r="K110">
        <v>13.1</v>
      </c>
      <c r="L110">
        <v>55927.69</v>
      </c>
      <c r="M110">
        <v>54072.3</v>
      </c>
      <c r="N110">
        <v>4.3</v>
      </c>
      <c r="O110">
        <v>6.0040000000000003E-2</v>
      </c>
      <c r="P110">
        <v>2.5270000000000001</v>
      </c>
      <c r="Q110">
        <v>106.52</v>
      </c>
      <c r="R110">
        <v>11.295</v>
      </c>
      <c r="S110">
        <v>64.02</v>
      </c>
    </row>
    <row r="111" spans="1:19" x14ac:dyDescent="0.3">
      <c r="A111" s="2">
        <v>44076</v>
      </c>
      <c r="B111">
        <v>33.42</v>
      </c>
      <c r="C111">
        <v>44.2</v>
      </c>
      <c r="D111">
        <v>51.22</v>
      </c>
      <c r="E111">
        <v>55.91</v>
      </c>
      <c r="F111">
        <v>55.28</v>
      </c>
      <c r="G111">
        <v>41.51</v>
      </c>
      <c r="H111">
        <v>44.43</v>
      </c>
      <c r="I111">
        <v>43.83</v>
      </c>
      <c r="J111">
        <v>39.19</v>
      </c>
      <c r="K111">
        <v>13.02</v>
      </c>
      <c r="L111">
        <v>55861.88</v>
      </c>
      <c r="M111">
        <v>53684.05</v>
      </c>
      <c r="N111">
        <v>4.2249999999999996</v>
      </c>
      <c r="O111">
        <v>5.9470000000000002E-2</v>
      </c>
      <c r="P111">
        <v>2.4860000000000002</v>
      </c>
      <c r="Q111">
        <v>106.33</v>
      </c>
      <c r="R111">
        <v>11.11</v>
      </c>
      <c r="S111">
        <v>64.33</v>
      </c>
    </row>
    <row r="112" spans="1:19" x14ac:dyDescent="0.3">
      <c r="A112" s="2">
        <v>44077</v>
      </c>
      <c r="B112">
        <v>33.42</v>
      </c>
      <c r="C112">
        <v>44.2</v>
      </c>
      <c r="D112">
        <v>51.22</v>
      </c>
      <c r="E112">
        <v>55.91</v>
      </c>
      <c r="F112">
        <v>55.28</v>
      </c>
      <c r="G112">
        <v>41.37</v>
      </c>
      <c r="H112">
        <v>44.07</v>
      </c>
      <c r="I112">
        <v>43.61</v>
      </c>
      <c r="J112">
        <v>39.11</v>
      </c>
      <c r="K112">
        <v>13.18</v>
      </c>
      <c r="L112">
        <v>54522.35</v>
      </c>
      <c r="M112">
        <v>52084.57</v>
      </c>
      <c r="N112">
        <v>4.34</v>
      </c>
      <c r="O112">
        <v>5.9749999999999998E-2</v>
      </c>
      <c r="P112">
        <v>2.4870000000000001</v>
      </c>
      <c r="Q112">
        <v>103.22</v>
      </c>
      <c r="R112">
        <v>11.734999999999999</v>
      </c>
      <c r="S112">
        <v>65.02</v>
      </c>
    </row>
    <row r="113" spans="1:19" x14ac:dyDescent="0.3">
      <c r="A113" s="2">
        <v>44078</v>
      </c>
      <c r="B113">
        <v>34.32</v>
      </c>
      <c r="C113">
        <v>45.09</v>
      </c>
      <c r="D113">
        <v>52.71</v>
      </c>
      <c r="E113">
        <v>57.13</v>
      </c>
      <c r="F113">
        <v>56</v>
      </c>
      <c r="G113">
        <v>39.770000000000003</v>
      </c>
      <c r="H113">
        <v>42.66</v>
      </c>
      <c r="I113">
        <v>42.61</v>
      </c>
      <c r="J113">
        <v>39.08</v>
      </c>
      <c r="K113">
        <v>13.36</v>
      </c>
      <c r="L113">
        <v>53878.95</v>
      </c>
      <c r="M113">
        <v>52279.12</v>
      </c>
      <c r="N113">
        <v>4.2249999999999996</v>
      </c>
      <c r="O113">
        <v>6.0159999999999998E-2</v>
      </c>
      <c r="P113">
        <v>2.5880000000000001</v>
      </c>
      <c r="Q113">
        <v>100.08</v>
      </c>
      <c r="R113">
        <v>11.68</v>
      </c>
      <c r="S113">
        <v>63.68</v>
      </c>
    </row>
    <row r="114" spans="1:19" x14ac:dyDescent="0.3">
      <c r="A114" s="2">
        <v>44081</v>
      </c>
      <c r="B114">
        <v>34.32</v>
      </c>
      <c r="C114">
        <v>45.09</v>
      </c>
      <c r="D114">
        <v>52.71</v>
      </c>
      <c r="E114">
        <v>57.13</v>
      </c>
      <c r="F114">
        <v>56</v>
      </c>
      <c r="G114">
        <v>39.200000000000003</v>
      </c>
      <c r="H114">
        <v>42.01</v>
      </c>
      <c r="I114">
        <v>74.752492970946577</v>
      </c>
      <c r="J114">
        <v>80.871012183692585</v>
      </c>
      <c r="K114">
        <v>13.08</v>
      </c>
      <c r="L114">
        <v>54400.28</v>
      </c>
      <c r="M114">
        <v>53551.07</v>
      </c>
      <c r="N114">
        <v>17.62252908067542</v>
      </c>
      <c r="O114">
        <v>5.9700000000000003E-2</v>
      </c>
      <c r="P114">
        <v>2.5409999999999999</v>
      </c>
      <c r="Q114">
        <v>112.7561105904405</v>
      </c>
      <c r="R114">
        <v>57.384855947955387</v>
      </c>
      <c r="S114">
        <v>63.33</v>
      </c>
    </row>
    <row r="115" spans="1:19" x14ac:dyDescent="0.3">
      <c r="A115" s="2">
        <v>44082</v>
      </c>
      <c r="B115">
        <v>34.32</v>
      </c>
      <c r="C115">
        <v>45.09</v>
      </c>
      <c r="D115">
        <v>52.71</v>
      </c>
      <c r="E115">
        <v>57.13</v>
      </c>
      <c r="F115">
        <v>56</v>
      </c>
      <c r="G115">
        <v>36.76</v>
      </c>
      <c r="H115">
        <v>39.78</v>
      </c>
      <c r="I115">
        <v>40.200000000000003</v>
      </c>
      <c r="J115">
        <v>38.18</v>
      </c>
      <c r="K115">
        <v>13.4</v>
      </c>
      <c r="L115">
        <v>54438.82</v>
      </c>
      <c r="M115">
        <v>52888.27</v>
      </c>
      <c r="N115">
        <v>4.32</v>
      </c>
      <c r="O115">
        <v>5.8999999999999997E-2</v>
      </c>
      <c r="P115">
        <v>2.4</v>
      </c>
      <c r="Q115">
        <v>98.82</v>
      </c>
      <c r="R115">
        <v>10.8</v>
      </c>
      <c r="S115">
        <v>63.95</v>
      </c>
    </row>
    <row r="116" spans="1:19" x14ac:dyDescent="0.3">
      <c r="A116" s="2">
        <v>44083</v>
      </c>
      <c r="B116">
        <v>34.32</v>
      </c>
      <c r="C116">
        <v>45.09</v>
      </c>
      <c r="D116">
        <v>52.71</v>
      </c>
      <c r="E116">
        <v>57.13</v>
      </c>
      <c r="F116">
        <v>56</v>
      </c>
      <c r="G116">
        <v>38.049999999999997</v>
      </c>
      <c r="H116">
        <v>40.79</v>
      </c>
      <c r="I116">
        <v>40.78</v>
      </c>
      <c r="J116">
        <v>37.950000000000003</v>
      </c>
      <c r="K116">
        <v>13.24</v>
      </c>
      <c r="L116">
        <v>55211.34</v>
      </c>
      <c r="M116">
        <v>53271.41</v>
      </c>
      <c r="N116">
        <v>4.25</v>
      </c>
      <c r="O116">
        <v>6.019E-2</v>
      </c>
      <c r="P116">
        <v>2.4060000000000001</v>
      </c>
      <c r="Q116">
        <v>101.21</v>
      </c>
      <c r="R116">
        <v>10.734999999999999</v>
      </c>
      <c r="S116">
        <v>62.9</v>
      </c>
    </row>
    <row r="117" spans="1:19" x14ac:dyDescent="0.3">
      <c r="A117" s="2">
        <v>44084</v>
      </c>
      <c r="B117">
        <v>34.32</v>
      </c>
      <c r="C117">
        <v>45.09</v>
      </c>
      <c r="D117">
        <v>52.71</v>
      </c>
      <c r="E117">
        <v>57.13</v>
      </c>
      <c r="F117">
        <v>56</v>
      </c>
      <c r="G117">
        <v>37.299999999999997</v>
      </c>
      <c r="H117">
        <v>40.06</v>
      </c>
      <c r="I117">
        <v>40.25</v>
      </c>
      <c r="J117">
        <v>37</v>
      </c>
      <c r="K117">
        <v>13.08</v>
      </c>
      <c r="L117">
        <v>55953.96</v>
      </c>
      <c r="M117">
        <v>53750.78</v>
      </c>
      <c r="N117">
        <v>4.3099999999999996</v>
      </c>
      <c r="O117">
        <v>5.9119999999999999E-2</v>
      </c>
      <c r="P117">
        <v>2.323</v>
      </c>
      <c r="Q117">
        <v>98.25</v>
      </c>
      <c r="R117">
        <v>10.515000000000001</v>
      </c>
      <c r="S117">
        <v>64.17</v>
      </c>
    </row>
    <row r="118" spans="1:19" x14ac:dyDescent="0.3">
      <c r="A118" s="2">
        <v>44085</v>
      </c>
      <c r="B118">
        <v>33.14</v>
      </c>
      <c r="C118">
        <v>43.56</v>
      </c>
      <c r="D118">
        <v>51.58</v>
      </c>
      <c r="E118">
        <v>55.72</v>
      </c>
      <c r="F118">
        <v>55.52</v>
      </c>
      <c r="G118">
        <v>37.33</v>
      </c>
      <c r="H118">
        <v>39.83</v>
      </c>
      <c r="I118">
        <v>40.24</v>
      </c>
      <c r="J118">
        <v>36.9</v>
      </c>
      <c r="K118">
        <v>13.18</v>
      </c>
      <c r="L118">
        <v>56087.839999999997</v>
      </c>
      <c r="M118">
        <v>54455.08</v>
      </c>
      <c r="N118">
        <v>4.3099999999999996</v>
      </c>
      <c r="O118">
        <v>5.9670000000000001E-2</v>
      </c>
      <c r="P118">
        <v>2.2690000000000001</v>
      </c>
      <c r="Q118">
        <v>98.23</v>
      </c>
      <c r="R118">
        <v>10.494999999999999</v>
      </c>
      <c r="S118">
        <v>63.43</v>
      </c>
    </row>
    <row r="119" spans="1:19" x14ac:dyDescent="0.3">
      <c r="A119" s="2">
        <v>44088</v>
      </c>
      <c r="B119">
        <v>33.14</v>
      </c>
      <c r="C119">
        <v>43.56</v>
      </c>
      <c r="D119">
        <v>51.58</v>
      </c>
      <c r="E119">
        <v>55.72</v>
      </c>
      <c r="F119">
        <v>55.52</v>
      </c>
      <c r="G119">
        <v>37.26</v>
      </c>
      <c r="H119">
        <v>39.61</v>
      </c>
      <c r="I119">
        <v>40.15</v>
      </c>
      <c r="J119">
        <v>36.659999999999997</v>
      </c>
      <c r="K119">
        <v>13.26</v>
      </c>
      <c r="L119">
        <v>56327.05</v>
      </c>
      <c r="M119">
        <v>54929.3</v>
      </c>
      <c r="N119">
        <v>4.3099999999999996</v>
      </c>
      <c r="O119">
        <v>5.9979999999999999E-2</v>
      </c>
      <c r="P119">
        <v>2.31</v>
      </c>
      <c r="Q119">
        <v>100.46</v>
      </c>
      <c r="R119">
        <v>10.705</v>
      </c>
      <c r="S119">
        <v>68.75</v>
      </c>
    </row>
    <row r="120" spans="1:19" x14ac:dyDescent="0.3">
      <c r="A120" s="2">
        <v>44089</v>
      </c>
      <c r="B120">
        <v>33.14</v>
      </c>
      <c r="C120">
        <v>43.56</v>
      </c>
      <c r="D120">
        <v>51.58</v>
      </c>
      <c r="E120">
        <v>55.72</v>
      </c>
      <c r="F120">
        <v>55.52</v>
      </c>
      <c r="G120">
        <v>38.28</v>
      </c>
      <c r="H120">
        <v>40.53</v>
      </c>
      <c r="I120">
        <v>40.69</v>
      </c>
      <c r="J120">
        <v>36.270000000000003</v>
      </c>
      <c r="K120">
        <v>13.34</v>
      </c>
      <c r="L120">
        <v>56130.78</v>
      </c>
      <c r="M120">
        <v>54955.76</v>
      </c>
      <c r="N120">
        <v>4.3079999999999998</v>
      </c>
      <c r="O120">
        <v>6.08E-2</v>
      </c>
      <c r="P120">
        <v>2.3620000000000001</v>
      </c>
      <c r="Q120">
        <v>100.53</v>
      </c>
      <c r="R120">
        <v>10.895</v>
      </c>
      <c r="S120">
        <v>68.27</v>
      </c>
    </row>
    <row r="121" spans="1:19" x14ac:dyDescent="0.3">
      <c r="A121" s="2">
        <v>44090</v>
      </c>
      <c r="B121">
        <v>33.14</v>
      </c>
      <c r="C121">
        <v>43.56</v>
      </c>
      <c r="D121">
        <v>51.58</v>
      </c>
      <c r="E121">
        <v>55.72</v>
      </c>
      <c r="F121">
        <v>55.52</v>
      </c>
      <c r="G121">
        <v>40.159999999999997</v>
      </c>
      <c r="H121">
        <v>42.22</v>
      </c>
      <c r="I121">
        <v>41.58</v>
      </c>
      <c r="J121">
        <v>37.81</v>
      </c>
      <c r="K121">
        <v>13.26</v>
      </c>
      <c r="L121">
        <v>55960.74</v>
      </c>
      <c r="M121">
        <v>54850.07</v>
      </c>
      <c r="N121">
        <v>4.8949999999999996</v>
      </c>
      <c r="O121">
        <v>6.1559999999999997E-2</v>
      </c>
      <c r="P121">
        <v>2.2669999999999999</v>
      </c>
      <c r="Q121">
        <v>100.91</v>
      </c>
      <c r="R121">
        <v>11.32</v>
      </c>
      <c r="S121">
        <v>70.33</v>
      </c>
    </row>
    <row r="122" spans="1:19" x14ac:dyDescent="0.3">
      <c r="A122" s="2">
        <v>44091</v>
      </c>
      <c r="B122">
        <v>33.14</v>
      </c>
      <c r="C122">
        <v>43.56</v>
      </c>
      <c r="D122">
        <v>51.58</v>
      </c>
      <c r="E122">
        <v>55.72</v>
      </c>
      <c r="F122">
        <v>55.52</v>
      </c>
      <c r="G122">
        <v>40.97</v>
      </c>
      <c r="H122">
        <v>43.3</v>
      </c>
      <c r="I122">
        <v>42.02</v>
      </c>
      <c r="J122">
        <v>37.799999999999997</v>
      </c>
      <c r="K122">
        <v>13.4</v>
      </c>
      <c r="L122">
        <v>55035.6</v>
      </c>
      <c r="M122">
        <v>52992.84</v>
      </c>
      <c r="N122">
        <v>4.8449999999999998</v>
      </c>
      <c r="O122">
        <v>6.1870000000000001E-2</v>
      </c>
      <c r="P122">
        <v>2.0419999999999998</v>
      </c>
      <c r="Q122">
        <v>99.96</v>
      </c>
      <c r="R122">
        <v>11.12</v>
      </c>
      <c r="S122">
        <v>69.180000000000007</v>
      </c>
    </row>
    <row r="123" spans="1:19" x14ac:dyDescent="0.3">
      <c r="A123" s="2">
        <v>44092</v>
      </c>
      <c r="B123">
        <v>34.18</v>
      </c>
      <c r="C123">
        <v>45.13</v>
      </c>
      <c r="D123">
        <v>53.19</v>
      </c>
      <c r="E123">
        <v>56.18</v>
      </c>
      <c r="F123">
        <v>55.66</v>
      </c>
      <c r="G123">
        <v>41.11</v>
      </c>
      <c r="H123">
        <v>43.15</v>
      </c>
      <c r="I123">
        <v>42.01</v>
      </c>
      <c r="J123">
        <v>37.19</v>
      </c>
      <c r="K123">
        <v>13.66</v>
      </c>
      <c r="L123">
        <v>54673.65</v>
      </c>
      <c r="M123">
        <v>53198.46</v>
      </c>
      <c r="N123">
        <v>4.8449999999999998</v>
      </c>
      <c r="O123">
        <v>6.1199999999999997E-2</v>
      </c>
      <c r="P123">
        <v>2.048</v>
      </c>
      <c r="Q123">
        <v>99.21</v>
      </c>
      <c r="R123">
        <v>11.475</v>
      </c>
      <c r="S123">
        <v>68.97</v>
      </c>
    </row>
    <row r="124" spans="1:19" x14ac:dyDescent="0.3">
      <c r="A124" s="2">
        <v>44095</v>
      </c>
      <c r="B124">
        <v>34.18</v>
      </c>
      <c r="C124">
        <v>45.13</v>
      </c>
      <c r="D124">
        <v>53.19</v>
      </c>
      <c r="E124">
        <v>56.18</v>
      </c>
      <c r="F124">
        <v>55.66</v>
      </c>
      <c r="G124">
        <v>39.31</v>
      </c>
      <c r="H124">
        <v>41.44</v>
      </c>
      <c r="I124">
        <v>41.41</v>
      </c>
      <c r="J124">
        <v>36.43</v>
      </c>
      <c r="K124">
        <v>13.78</v>
      </c>
      <c r="L124">
        <v>53319.08</v>
      </c>
      <c r="M124">
        <v>51789</v>
      </c>
      <c r="N124">
        <v>4.78</v>
      </c>
      <c r="O124">
        <v>5.9560000000000002E-2</v>
      </c>
      <c r="P124">
        <v>1.835</v>
      </c>
      <c r="Q124">
        <v>99.27</v>
      </c>
      <c r="R124">
        <v>11.494999999999999</v>
      </c>
      <c r="S124">
        <v>65.150000000000006</v>
      </c>
    </row>
    <row r="125" spans="1:19" x14ac:dyDescent="0.3">
      <c r="A125" s="2">
        <v>44096</v>
      </c>
      <c r="B125">
        <v>34.18</v>
      </c>
      <c r="C125">
        <v>45.13</v>
      </c>
      <c r="D125">
        <v>53.19</v>
      </c>
      <c r="E125">
        <v>56.18</v>
      </c>
      <c r="F125">
        <v>55.66</v>
      </c>
      <c r="G125">
        <v>39.6</v>
      </c>
      <c r="H125">
        <v>41.72</v>
      </c>
      <c r="I125">
        <v>41.5</v>
      </c>
      <c r="J125">
        <v>35.53</v>
      </c>
      <c r="K125">
        <v>13.84</v>
      </c>
      <c r="L125">
        <v>53265.33</v>
      </c>
      <c r="M125">
        <v>50772.23</v>
      </c>
      <c r="N125">
        <v>4.835</v>
      </c>
      <c r="O125">
        <v>5.9499999999999997E-2</v>
      </c>
      <c r="P125">
        <v>1.8340000000000001</v>
      </c>
      <c r="Q125">
        <v>98.8</v>
      </c>
      <c r="R125">
        <v>11.705</v>
      </c>
      <c r="S125">
        <v>63.98</v>
      </c>
    </row>
    <row r="126" spans="1:19" x14ac:dyDescent="0.3">
      <c r="A126" s="2">
        <v>44097</v>
      </c>
      <c r="B126">
        <v>34.18</v>
      </c>
      <c r="C126">
        <v>45.13</v>
      </c>
      <c r="D126">
        <v>53.19</v>
      </c>
      <c r="E126">
        <v>56.18</v>
      </c>
      <c r="F126">
        <v>55.66</v>
      </c>
      <c r="G126">
        <v>39.93</v>
      </c>
      <c r="H126">
        <v>41.77</v>
      </c>
      <c r="I126">
        <v>41.49</v>
      </c>
      <c r="J126">
        <v>34.39</v>
      </c>
      <c r="K126">
        <v>13.72</v>
      </c>
      <c r="L126">
        <v>54247.81</v>
      </c>
      <c r="M126">
        <v>51110.400000000001</v>
      </c>
      <c r="N126">
        <v>4.95</v>
      </c>
      <c r="O126">
        <v>5.8540000000000002E-2</v>
      </c>
      <c r="P126">
        <v>2.125</v>
      </c>
      <c r="Q126">
        <v>97</v>
      </c>
      <c r="R126">
        <v>12.02</v>
      </c>
      <c r="S126">
        <v>63.28</v>
      </c>
    </row>
    <row r="127" spans="1:19" x14ac:dyDescent="0.3">
      <c r="A127" s="2">
        <v>44098</v>
      </c>
      <c r="B127">
        <v>34.18</v>
      </c>
      <c r="C127">
        <v>45.13</v>
      </c>
      <c r="D127">
        <v>53.19</v>
      </c>
      <c r="E127">
        <v>56.18</v>
      </c>
      <c r="F127">
        <v>55.66</v>
      </c>
      <c r="G127">
        <v>40.31</v>
      </c>
      <c r="H127">
        <v>41.94</v>
      </c>
      <c r="I127">
        <v>41.56</v>
      </c>
      <c r="J127">
        <v>34.32</v>
      </c>
      <c r="K127">
        <v>13.48</v>
      </c>
      <c r="L127">
        <v>68736.904810964072</v>
      </c>
      <c r="M127">
        <v>52972.178374291107</v>
      </c>
      <c r="N127">
        <v>4.95</v>
      </c>
      <c r="O127">
        <v>5.9080000000000001E-2</v>
      </c>
      <c r="P127">
        <v>2.2480000000000002</v>
      </c>
      <c r="Q127">
        <v>98.33</v>
      </c>
      <c r="R127">
        <v>11.635</v>
      </c>
      <c r="S127">
        <v>63.58</v>
      </c>
    </row>
    <row r="128" spans="1:19" x14ac:dyDescent="0.3">
      <c r="A128" s="2">
        <v>44099</v>
      </c>
      <c r="B128">
        <v>35.590000000000003</v>
      </c>
      <c r="C128">
        <v>48.02</v>
      </c>
      <c r="D128">
        <v>56.57</v>
      </c>
      <c r="E128">
        <v>58.95</v>
      </c>
      <c r="F128">
        <v>59.12</v>
      </c>
      <c r="G128">
        <v>40.25</v>
      </c>
      <c r="H128">
        <v>41.92</v>
      </c>
      <c r="I128">
        <v>41.6</v>
      </c>
      <c r="J128">
        <v>34.64</v>
      </c>
      <c r="K128">
        <v>13.54</v>
      </c>
      <c r="L128">
        <v>53587.11</v>
      </c>
      <c r="M128">
        <v>51146.68</v>
      </c>
      <c r="N128">
        <v>4.9749999999999996</v>
      </c>
      <c r="O128">
        <v>5.833E-2</v>
      </c>
      <c r="P128">
        <v>2.1389999999999998</v>
      </c>
      <c r="Q128">
        <v>100.56</v>
      </c>
      <c r="R128">
        <v>11.664999999999999</v>
      </c>
      <c r="S128">
        <v>63.4</v>
      </c>
    </row>
    <row r="129" spans="1:19" x14ac:dyDescent="0.3">
      <c r="A129" s="2">
        <v>44102</v>
      </c>
      <c r="B129">
        <v>35.590000000000003</v>
      </c>
      <c r="C129">
        <v>48.02</v>
      </c>
      <c r="D129">
        <v>56.57</v>
      </c>
      <c r="E129">
        <v>58.95</v>
      </c>
      <c r="F129">
        <v>59.12</v>
      </c>
      <c r="G129">
        <v>40.6</v>
      </c>
      <c r="H129">
        <v>42.43</v>
      </c>
      <c r="I129">
        <v>41.62</v>
      </c>
      <c r="J129">
        <v>35.31</v>
      </c>
      <c r="K129">
        <v>13.94</v>
      </c>
      <c r="L129">
        <v>54718.8</v>
      </c>
      <c r="M129">
        <v>51816.7</v>
      </c>
      <c r="N129">
        <v>5.0750000000000002</v>
      </c>
      <c r="O129">
        <v>5.858E-2</v>
      </c>
      <c r="P129">
        <v>2.101</v>
      </c>
      <c r="Q129">
        <v>101.23</v>
      </c>
      <c r="R129">
        <v>12.35</v>
      </c>
      <c r="S129">
        <v>66.599999999999994</v>
      </c>
    </row>
    <row r="130" spans="1:19" x14ac:dyDescent="0.3">
      <c r="A130" s="2">
        <v>44103</v>
      </c>
      <c r="B130">
        <v>35.590000000000003</v>
      </c>
      <c r="C130">
        <v>48.02</v>
      </c>
      <c r="D130">
        <v>56.57</v>
      </c>
      <c r="E130">
        <v>58.95</v>
      </c>
      <c r="F130">
        <v>59.12</v>
      </c>
      <c r="G130">
        <v>39.29</v>
      </c>
      <c r="H130">
        <v>41.03</v>
      </c>
      <c r="I130">
        <v>41.53</v>
      </c>
      <c r="J130">
        <v>34.28</v>
      </c>
      <c r="K130">
        <v>13.92</v>
      </c>
      <c r="L130">
        <v>54506.879999999997</v>
      </c>
      <c r="M130">
        <v>51518.21</v>
      </c>
      <c r="N130">
        <v>5.0999999999999996</v>
      </c>
      <c r="O130">
        <v>5.8970000000000002E-2</v>
      </c>
      <c r="P130">
        <v>2.5609999999999999</v>
      </c>
      <c r="Q130">
        <v>99.17</v>
      </c>
      <c r="R130">
        <v>12.28</v>
      </c>
      <c r="S130">
        <v>69.8</v>
      </c>
    </row>
    <row r="131" spans="1:19" x14ac:dyDescent="0.3">
      <c r="A131" s="2">
        <v>44104</v>
      </c>
      <c r="B131">
        <v>35.590000000000003</v>
      </c>
      <c r="C131">
        <v>48.02</v>
      </c>
      <c r="D131">
        <v>56.57</v>
      </c>
      <c r="E131">
        <v>58.95</v>
      </c>
      <c r="F131">
        <v>59.12</v>
      </c>
      <c r="G131">
        <v>40.22</v>
      </c>
      <c r="H131">
        <v>40.950000000000003</v>
      </c>
      <c r="I131">
        <v>41.49</v>
      </c>
      <c r="J131">
        <v>34.33</v>
      </c>
      <c r="K131">
        <v>13.9</v>
      </c>
      <c r="L131">
        <v>54264.959999999999</v>
      </c>
      <c r="M131">
        <v>50856.62</v>
      </c>
      <c r="N131">
        <v>5.05</v>
      </c>
      <c r="O131">
        <v>5.9639999999999999E-2</v>
      </c>
      <c r="P131">
        <v>2.5270000000000001</v>
      </c>
      <c r="Q131">
        <v>100.05</v>
      </c>
      <c r="R131">
        <v>13.285</v>
      </c>
      <c r="S131">
        <v>69.28</v>
      </c>
    </row>
    <row r="132" spans="1:19" x14ac:dyDescent="0.3">
      <c r="A132" s="2">
        <v>44105</v>
      </c>
      <c r="B132">
        <v>35.590000000000003</v>
      </c>
      <c r="C132">
        <v>48.02</v>
      </c>
      <c r="D132">
        <v>56.57</v>
      </c>
      <c r="E132">
        <v>58.95</v>
      </c>
      <c r="F132">
        <v>59.12</v>
      </c>
      <c r="G132">
        <v>38.72</v>
      </c>
      <c r="H132">
        <v>40.93</v>
      </c>
      <c r="I132">
        <v>40.299999999999997</v>
      </c>
      <c r="J132">
        <v>33.130000000000003</v>
      </c>
      <c r="K132">
        <v>21.274702495201531</v>
      </c>
      <c r="L132">
        <v>54446.78</v>
      </c>
      <c r="M132">
        <v>50429.23</v>
      </c>
      <c r="N132">
        <v>5.0350000000000001</v>
      </c>
      <c r="O132">
        <v>6.0150000000000002E-2</v>
      </c>
      <c r="P132">
        <v>2.5270000000000001</v>
      </c>
      <c r="Q132">
        <v>101.43</v>
      </c>
      <c r="R132">
        <v>13.18</v>
      </c>
      <c r="S132">
        <v>68.67</v>
      </c>
    </row>
    <row r="133" spans="1:19" x14ac:dyDescent="0.3">
      <c r="A133" s="2">
        <v>44106</v>
      </c>
      <c r="B133">
        <v>35.81</v>
      </c>
      <c r="C133">
        <v>49.65</v>
      </c>
      <c r="D133">
        <v>58.87</v>
      </c>
      <c r="E133">
        <v>61.72</v>
      </c>
      <c r="F133">
        <v>58.67</v>
      </c>
      <c r="G133">
        <v>37.049999999999997</v>
      </c>
      <c r="H133">
        <v>39.270000000000003</v>
      </c>
      <c r="I133">
        <v>38.479999999999997</v>
      </c>
      <c r="J133">
        <v>32.979999999999997</v>
      </c>
      <c r="K133">
        <v>21.274702495201531</v>
      </c>
      <c r="L133">
        <v>54219.24</v>
      </c>
      <c r="M133">
        <v>50047.28</v>
      </c>
      <c r="N133">
        <v>5.0250000000000004</v>
      </c>
      <c r="O133">
        <v>6.0409999999999998E-2</v>
      </c>
      <c r="P133">
        <v>2.4380000000000002</v>
      </c>
      <c r="Q133">
        <v>101.34</v>
      </c>
      <c r="R133">
        <v>13.025</v>
      </c>
      <c r="S133">
        <v>141.61602674307539</v>
      </c>
    </row>
    <row r="134" spans="1:19" x14ac:dyDescent="0.3">
      <c r="A134" s="2">
        <v>44109</v>
      </c>
      <c r="B134">
        <v>35.81</v>
      </c>
      <c r="C134">
        <v>49.65</v>
      </c>
      <c r="D134">
        <v>58.87</v>
      </c>
      <c r="E134">
        <v>61.72</v>
      </c>
      <c r="F134">
        <v>58.67</v>
      </c>
      <c r="G134">
        <v>39.22</v>
      </c>
      <c r="H134">
        <v>41.29</v>
      </c>
      <c r="I134">
        <v>40.42</v>
      </c>
      <c r="J134">
        <v>33.74</v>
      </c>
      <c r="K134">
        <v>13.7</v>
      </c>
      <c r="L134">
        <v>54524.05</v>
      </c>
      <c r="M134">
        <v>50538.75</v>
      </c>
      <c r="N134">
        <v>5.05</v>
      </c>
      <c r="O134">
        <v>6.0260000000000001E-2</v>
      </c>
      <c r="P134">
        <v>2.6150000000000002</v>
      </c>
      <c r="Q134">
        <v>101.81</v>
      </c>
      <c r="R134">
        <v>13.42</v>
      </c>
      <c r="S134">
        <v>71.92</v>
      </c>
    </row>
    <row r="135" spans="1:19" x14ac:dyDescent="0.3">
      <c r="A135" s="2">
        <v>44110</v>
      </c>
      <c r="B135">
        <v>35.81</v>
      </c>
      <c r="C135">
        <v>49.65</v>
      </c>
      <c r="D135">
        <v>58.87</v>
      </c>
      <c r="E135">
        <v>61.72</v>
      </c>
      <c r="F135">
        <v>58.67</v>
      </c>
      <c r="G135">
        <v>40.67</v>
      </c>
      <c r="H135">
        <v>42.65</v>
      </c>
      <c r="I135">
        <v>41.56</v>
      </c>
      <c r="J135">
        <v>33.39</v>
      </c>
      <c r="K135">
        <v>13.74</v>
      </c>
      <c r="L135">
        <v>54203.83</v>
      </c>
      <c r="M135">
        <v>49990.87</v>
      </c>
      <c r="N135">
        <v>5.05</v>
      </c>
      <c r="O135">
        <v>5.9729999999999998E-2</v>
      </c>
      <c r="P135">
        <v>2.52</v>
      </c>
      <c r="Q135">
        <v>101.01</v>
      </c>
      <c r="R135">
        <v>13.305</v>
      </c>
      <c r="S135">
        <v>71.27</v>
      </c>
    </row>
    <row r="136" spans="1:19" x14ac:dyDescent="0.3">
      <c r="A136" s="2">
        <v>44111</v>
      </c>
      <c r="B136">
        <v>35.81</v>
      </c>
      <c r="C136">
        <v>49.65</v>
      </c>
      <c r="D136">
        <v>58.87</v>
      </c>
      <c r="E136">
        <v>61.72</v>
      </c>
      <c r="F136">
        <v>58.67</v>
      </c>
      <c r="G136">
        <v>39.950000000000003</v>
      </c>
      <c r="H136">
        <v>41.99</v>
      </c>
      <c r="I136">
        <v>40.98</v>
      </c>
      <c r="J136">
        <v>33.5</v>
      </c>
      <c r="K136">
        <v>13.76</v>
      </c>
      <c r="L136">
        <v>54749.77</v>
      </c>
      <c r="M136">
        <v>50682.95</v>
      </c>
      <c r="N136">
        <v>5.085</v>
      </c>
      <c r="O136">
        <v>6.012E-2</v>
      </c>
      <c r="P136">
        <v>2.6059999999999999</v>
      </c>
      <c r="Q136">
        <v>100.85</v>
      </c>
      <c r="R136">
        <v>13.71</v>
      </c>
      <c r="S136">
        <v>68.150000000000006</v>
      </c>
    </row>
    <row r="137" spans="1:19" x14ac:dyDescent="0.3">
      <c r="A137" s="2">
        <v>44112</v>
      </c>
      <c r="B137">
        <v>35.81</v>
      </c>
      <c r="C137">
        <v>49.65</v>
      </c>
      <c r="D137">
        <v>58.87</v>
      </c>
      <c r="E137">
        <v>61.72</v>
      </c>
      <c r="F137">
        <v>58.67</v>
      </c>
      <c r="G137">
        <v>41.19</v>
      </c>
      <c r="H137">
        <v>43.34</v>
      </c>
      <c r="I137">
        <v>41.88</v>
      </c>
      <c r="J137">
        <v>35.26</v>
      </c>
      <c r="K137">
        <v>13.4</v>
      </c>
      <c r="L137">
        <v>54554.85</v>
      </c>
      <c r="M137">
        <v>50910.06</v>
      </c>
      <c r="N137">
        <v>5.1050000000000004</v>
      </c>
      <c r="O137">
        <v>6.0260000000000001E-2</v>
      </c>
      <c r="P137">
        <v>2.6269999999999998</v>
      </c>
      <c r="Q137">
        <v>101.44</v>
      </c>
      <c r="R137">
        <v>13.9</v>
      </c>
      <c r="S137">
        <v>65.430000000000007</v>
      </c>
    </row>
    <row r="138" spans="1:19" x14ac:dyDescent="0.3">
      <c r="A138" s="2">
        <v>44113</v>
      </c>
      <c r="B138">
        <v>35.33</v>
      </c>
      <c r="C138">
        <v>47.56</v>
      </c>
      <c r="D138">
        <v>56.82</v>
      </c>
      <c r="E138">
        <v>59.93</v>
      </c>
      <c r="F138">
        <v>57.95</v>
      </c>
      <c r="G138">
        <v>40.6</v>
      </c>
      <c r="H138">
        <v>42.85</v>
      </c>
      <c r="I138">
        <v>41.48</v>
      </c>
      <c r="J138">
        <v>34.74</v>
      </c>
      <c r="K138">
        <v>13.72</v>
      </c>
      <c r="L138">
        <v>55182.99</v>
      </c>
      <c r="M138">
        <v>52392.44</v>
      </c>
      <c r="N138">
        <v>5.1349999999999998</v>
      </c>
      <c r="O138">
        <v>6.0670000000000002E-2</v>
      </c>
      <c r="P138">
        <v>2.7410000000000001</v>
      </c>
      <c r="Q138">
        <v>101.39</v>
      </c>
      <c r="R138">
        <v>13.755000000000001</v>
      </c>
      <c r="S138">
        <v>64.62</v>
      </c>
    </row>
    <row r="139" spans="1:19" x14ac:dyDescent="0.3">
      <c r="A139" s="2">
        <v>44116</v>
      </c>
      <c r="B139">
        <v>35.33</v>
      </c>
      <c r="C139">
        <v>47.56</v>
      </c>
      <c r="D139">
        <v>56.82</v>
      </c>
      <c r="E139">
        <v>59.93</v>
      </c>
      <c r="F139">
        <v>57.95</v>
      </c>
      <c r="G139">
        <v>39.43</v>
      </c>
      <c r="H139">
        <v>41.72</v>
      </c>
      <c r="I139">
        <v>40.78</v>
      </c>
      <c r="J139">
        <v>34.630000000000003</v>
      </c>
      <c r="K139">
        <v>13.84</v>
      </c>
      <c r="L139">
        <v>55552.35</v>
      </c>
      <c r="M139">
        <v>52514.23</v>
      </c>
      <c r="N139">
        <v>5.1349999999999998</v>
      </c>
      <c r="O139">
        <v>6.053E-2</v>
      </c>
      <c r="P139">
        <v>2.8809999999999998</v>
      </c>
      <c r="Q139">
        <v>102.96</v>
      </c>
      <c r="R139">
        <v>13.84</v>
      </c>
      <c r="S139">
        <v>63.33</v>
      </c>
    </row>
    <row r="140" spans="1:19" x14ac:dyDescent="0.3">
      <c r="A140" s="2">
        <v>44117</v>
      </c>
      <c r="B140">
        <v>35.33</v>
      </c>
      <c r="C140">
        <v>47.56</v>
      </c>
      <c r="D140">
        <v>56.82</v>
      </c>
      <c r="E140">
        <v>59.93</v>
      </c>
      <c r="F140">
        <v>57.95</v>
      </c>
      <c r="G140">
        <v>40.200000000000003</v>
      </c>
      <c r="H140">
        <v>42.45</v>
      </c>
      <c r="I140">
        <v>41.24</v>
      </c>
      <c r="J140">
        <v>34.22</v>
      </c>
      <c r="K140">
        <v>21.274702495201531</v>
      </c>
      <c r="L140">
        <v>55054.53</v>
      </c>
      <c r="M140">
        <v>51832.62</v>
      </c>
      <c r="N140">
        <v>5.1449999999999996</v>
      </c>
      <c r="O140">
        <v>6.0650000000000003E-2</v>
      </c>
      <c r="P140">
        <v>2.855</v>
      </c>
      <c r="Q140">
        <v>102.65</v>
      </c>
      <c r="R140">
        <v>13.595000000000001</v>
      </c>
      <c r="S140">
        <v>65.22</v>
      </c>
    </row>
    <row r="141" spans="1:19" x14ac:dyDescent="0.3">
      <c r="A141" s="2">
        <v>44118</v>
      </c>
      <c r="B141">
        <v>35.33</v>
      </c>
      <c r="C141">
        <v>47.56</v>
      </c>
      <c r="D141">
        <v>56.82</v>
      </c>
      <c r="E141">
        <v>59.93</v>
      </c>
      <c r="F141">
        <v>57.95</v>
      </c>
      <c r="G141">
        <v>41.04</v>
      </c>
      <c r="H141">
        <v>43.32</v>
      </c>
      <c r="I141">
        <v>41.78</v>
      </c>
      <c r="J141">
        <v>34.15</v>
      </c>
      <c r="K141">
        <v>13.76</v>
      </c>
      <c r="L141">
        <v>55394.23</v>
      </c>
      <c r="M141">
        <v>52702.36</v>
      </c>
      <c r="N141">
        <v>5.1449999999999996</v>
      </c>
      <c r="O141">
        <v>6.0449999999999997E-2</v>
      </c>
      <c r="P141">
        <v>2.6360000000000001</v>
      </c>
      <c r="Q141">
        <v>102.31</v>
      </c>
      <c r="R141">
        <v>13.87</v>
      </c>
      <c r="S141">
        <v>65.650000000000006</v>
      </c>
    </row>
    <row r="142" spans="1:19" x14ac:dyDescent="0.3">
      <c r="A142" s="2">
        <v>44119</v>
      </c>
      <c r="B142">
        <v>35.33</v>
      </c>
      <c r="C142">
        <v>47.56</v>
      </c>
      <c r="D142">
        <v>56.82</v>
      </c>
      <c r="E142">
        <v>59.93</v>
      </c>
      <c r="F142">
        <v>57.95</v>
      </c>
      <c r="G142">
        <v>40.96</v>
      </c>
      <c r="H142">
        <v>43.16</v>
      </c>
      <c r="I142">
        <v>41.65</v>
      </c>
      <c r="J142">
        <v>34.450000000000003</v>
      </c>
      <c r="K142">
        <v>13.96</v>
      </c>
      <c r="L142">
        <v>54843.96</v>
      </c>
      <c r="M142">
        <v>52136.1</v>
      </c>
      <c r="N142">
        <v>5.1459999999999999</v>
      </c>
      <c r="O142">
        <v>5.9990000000000002E-2</v>
      </c>
      <c r="P142">
        <v>2.7749999999999999</v>
      </c>
      <c r="Q142">
        <v>102.07</v>
      </c>
      <c r="R142">
        <v>14.24</v>
      </c>
      <c r="S142">
        <v>64.53</v>
      </c>
    </row>
    <row r="143" spans="1:19" x14ac:dyDescent="0.3">
      <c r="A143" s="2">
        <v>44120</v>
      </c>
      <c r="B143">
        <v>33.86</v>
      </c>
      <c r="C143">
        <v>45.32</v>
      </c>
      <c r="D143">
        <v>54.61</v>
      </c>
      <c r="E143">
        <v>57.01</v>
      </c>
      <c r="F143">
        <v>56.36</v>
      </c>
      <c r="G143">
        <v>40.880000000000003</v>
      </c>
      <c r="H143">
        <v>42.93</v>
      </c>
      <c r="I143">
        <v>41.48</v>
      </c>
      <c r="J143">
        <v>34.1</v>
      </c>
      <c r="K143">
        <v>14.06</v>
      </c>
      <c r="L143">
        <v>55047.26</v>
      </c>
      <c r="M143">
        <v>52300.76</v>
      </c>
      <c r="N143">
        <v>6.3150000000000004</v>
      </c>
      <c r="O143">
        <v>6.0319999999999999E-2</v>
      </c>
      <c r="P143">
        <v>2.7730000000000001</v>
      </c>
      <c r="Q143">
        <v>101.3</v>
      </c>
      <c r="R143">
        <v>14.5</v>
      </c>
      <c r="S143">
        <v>65</v>
      </c>
    </row>
    <row r="144" spans="1:19" x14ac:dyDescent="0.3">
      <c r="A144" s="2">
        <v>44123</v>
      </c>
      <c r="B144">
        <v>33.86</v>
      </c>
      <c r="C144">
        <v>45.32</v>
      </c>
      <c r="D144">
        <v>54.61</v>
      </c>
      <c r="E144">
        <v>57.01</v>
      </c>
      <c r="F144">
        <v>56.36</v>
      </c>
      <c r="G144">
        <v>40.83</v>
      </c>
      <c r="H144">
        <v>42.62</v>
      </c>
      <c r="I144">
        <v>41.37</v>
      </c>
      <c r="J144">
        <v>33.42</v>
      </c>
      <c r="K144">
        <v>13.78</v>
      </c>
      <c r="L144">
        <v>55161.03</v>
      </c>
      <c r="M144">
        <v>52290.91</v>
      </c>
      <c r="N144">
        <v>6.51</v>
      </c>
      <c r="O144">
        <v>6.0519999999999997E-2</v>
      </c>
      <c r="P144">
        <v>2.7949999999999999</v>
      </c>
      <c r="Q144">
        <v>98.45</v>
      </c>
      <c r="R144">
        <v>14.72</v>
      </c>
      <c r="S144">
        <v>66.92</v>
      </c>
    </row>
    <row r="145" spans="1:19" x14ac:dyDescent="0.3">
      <c r="A145" s="2">
        <v>44124</v>
      </c>
      <c r="B145">
        <v>33.86</v>
      </c>
      <c r="C145">
        <v>45.32</v>
      </c>
      <c r="D145">
        <v>54.61</v>
      </c>
      <c r="E145">
        <v>57.01</v>
      </c>
      <c r="F145">
        <v>56.36</v>
      </c>
      <c r="G145">
        <v>41.46</v>
      </c>
      <c r="H145">
        <v>43.16</v>
      </c>
      <c r="I145">
        <v>41.59</v>
      </c>
      <c r="J145">
        <v>33.700000000000003</v>
      </c>
      <c r="K145">
        <v>13.72</v>
      </c>
      <c r="L145">
        <v>55271.75</v>
      </c>
      <c r="M145">
        <v>52044.2</v>
      </c>
      <c r="N145">
        <v>6.55</v>
      </c>
      <c r="O145">
        <v>6.0639999999999999E-2</v>
      </c>
      <c r="P145">
        <v>2.9129999999999998</v>
      </c>
      <c r="Q145">
        <v>99.95</v>
      </c>
      <c r="R145">
        <v>14.895</v>
      </c>
      <c r="S145">
        <v>66.27</v>
      </c>
    </row>
    <row r="146" spans="1:19" x14ac:dyDescent="0.3">
      <c r="A146" s="2">
        <v>44125</v>
      </c>
      <c r="B146">
        <v>33.86</v>
      </c>
      <c r="C146">
        <v>45.32</v>
      </c>
      <c r="D146">
        <v>54.61</v>
      </c>
      <c r="E146">
        <v>57.01</v>
      </c>
      <c r="F146">
        <v>56.36</v>
      </c>
      <c r="G146">
        <v>40.03</v>
      </c>
      <c r="H146">
        <v>41.73</v>
      </c>
      <c r="I146">
        <v>41.07</v>
      </c>
      <c r="J146">
        <v>33.159999999999997</v>
      </c>
      <c r="K146">
        <v>13.8</v>
      </c>
      <c r="L146">
        <v>55345.49</v>
      </c>
      <c r="M146">
        <v>52769.74</v>
      </c>
      <c r="N146">
        <v>6.7249999999999996</v>
      </c>
      <c r="O146">
        <v>6.1210000000000001E-2</v>
      </c>
      <c r="P146">
        <v>3.0230000000000001</v>
      </c>
      <c r="Q146">
        <v>99.47</v>
      </c>
      <c r="R146">
        <v>14.865</v>
      </c>
      <c r="S146">
        <v>64.77</v>
      </c>
    </row>
    <row r="147" spans="1:19" x14ac:dyDescent="0.3">
      <c r="A147" s="2">
        <v>44126</v>
      </c>
      <c r="B147">
        <v>33.86</v>
      </c>
      <c r="C147">
        <v>45.32</v>
      </c>
      <c r="D147">
        <v>54.61</v>
      </c>
      <c r="E147">
        <v>57.01</v>
      </c>
      <c r="F147">
        <v>56.36</v>
      </c>
      <c r="G147">
        <v>40.64</v>
      </c>
      <c r="H147">
        <v>42.46</v>
      </c>
      <c r="I147">
        <v>41.31</v>
      </c>
      <c r="J147">
        <v>34.86</v>
      </c>
      <c r="K147">
        <v>13.82</v>
      </c>
      <c r="L147">
        <v>54796.42</v>
      </c>
      <c r="M147">
        <v>51044.04</v>
      </c>
      <c r="N147">
        <v>6.875</v>
      </c>
      <c r="O147">
        <v>6.164E-2</v>
      </c>
      <c r="P147">
        <v>3.0070000000000001</v>
      </c>
      <c r="Q147">
        <v>99.36</v>
      </c>
      <c r="R147">
        <v>15.255000000000001</v>
      </c>
      <c r="S147">
        <v>65.349999999999994</v>
      </c>
    </row>
    <row r="148" spans="1:19" x14ac:dyDescent="0.3">
      <c r="A148" s="2">
        <v>44127</v>
      </c>
      <c r="B148">
        <v>34.56</v>
      </c>
      <c r="C148">
        <v>45.67</v>
      </c>
      <c r="D148">
        <v>55.01</v>
      </c>
      <c r="E148">
        <v>57.37</v>
      </c>
      <c r="F148">
        <v>56.1</v>
      </c>
      <c r="G148">
        <v>39.85</v>
      </c>
      <c r="H148">
        <v>41.77</v>
      </c>
      <c r="I148">
        <v>41.14</v>
      </c>
      <c r="J148">
        <v>34.159999999999997</v>
      </c>
      <c r="K148">
        <v>14.08</v>
      </c>
      <c r="L148">
        <v>55339.58</v>
      </c>
      <c r="M148">
        <v>50668.17</v>
      </c>
      <c r="N148">
        <v>7.25</v>
      </c>
      <c r="O148">
        <v>6.1679999999999999E-2</v>
      </c>
      <c r="P148">
        <v>2.9710000000000001</v>
      </c>
      <c r="Q148">
        <v>98.95</v>
      </c>
      <c r="R148">
        <v>15.41</v>
      </c>
      <c r="S148">
        <v>64.95</v>
      </c>
    </row>
    <row r="149" spans="1:19" x14ac:dyDescent="0.3">
      <c r="A149" s="2">
        <v>44130</v>
      </c>
      <c r="B149">
        <v>34.56</v>
      </c>
      <c r="C149">
        <v>45.67</v>
      </c>
      <c r="D149">
        <v>55.01</v>
      </c>
      <c r="E149">
        <v>57.37</v>
      </c>
      <c r="F149">
        <v>56.1</v>
      </c>
      <c r="G149">
        <v>38.56</v>
      </c>
      <c r="H149">
        <v>40.46</v>
      </c>
      <c r="I149">
        <v>40.89</v>
      </c>
      <c r="J149">
        <v>33.35</v>
      </c>
      <c r="K149">
        <v>21.274702495201531</v>
      </c>
      <c r="L149">
        <v>54890.879999999997</v>
      </c>
      <c r="M149">
        <v>50255.59</v>
      </c>
      <c r="N149">
        <v>7.2</v>
      </c>
      <c r="O149">
        <v>6.1550000000000001E-2</v>
      </c>
      <c r="P149">
        <v>3.024</v>
      </c>
      <c r="Q149">
        <v>97.76</v>
      </c>
      <c r="R149">
        <v>14.865</v>
      </c>
      <c r="S149">
        <v>64.27</v>
      </c>
    </row>
    <row r="150" spans="1:19" x14ac:dyDescent="0.3">
      <c r="A150" s="2">
        <v>44131</v>
      </c>
      <c r="B150">
        <v>34.56</v>
      </c>
      <c r="C150">
        <v>45.67</v>
      </c>
      <c r="D150">
        <v>55.01</v>
      </c>
      <c r="E150">
        <v>57.37</v>
      </c>
      <c r="F150">
        <v>56.1</v>
      </c>
      <c r="G150">
        <v>39.57</v>
      </c>
      <c r="H150">
        <v>41.2</v>
      </c>
      <c r="I150">
        <v>40.98</v>
      </c>
      <c r="J150">
        <v>32.82</v>
      </c>
      <c r="K150">
        <v>14</v>
      </c>
      <c r="L150">
        <v>54079.43</v>
      </c>
      <c r="M150">
        <v>48705.83</v>
      </c>
      <c r="N150">
        <v>7</v>
      </c>
      <c r="O150">
        <v>6.1690000000000002E-2</v>
      </c>
      <c r="P150">
        <v>3.0190000000000001</v>
      </c>
      <c r="Q150">
        <v>97.56</v>
      </c>
      <c r="R150">
        <v>14.744999999999999</v>
      </c>
      <c r="S150">
        <v>64.650000000000006</v>
      </c>
    </row>
    <row r="151" spans="1:19" x14ac:dyDescent="0.3">
      <c r="A151" s="2">
        <v>44132</v>
      </c>
      <c r="B151">
        <v>34.56</v>
      </c>
      <c r="C151">
        <v>45.67</v>
      </c>
      <c r="D151">
        <v>55.01</v>
      </c>
      <c r="E151">
        <v>57.37</v>
      </c>
      <c r="F151">
        <v>56.1</v>
      </c>
      <c r="G151">
        <v>37.39</v>
      </c>
      <c r="H151">
        <v>39.119999999999997</v>
      </c>
      <c r="I151">
        <v>40.75</v>
      </c>
      <c r="J151">
        <v>31.57</v>
      </c>
      <c r="K151">
        <v>13.64</v>
      </c>
      <c r="L151">
        <v>52308.14</v>
      </c>
      <c r="M151">
        <v>46477.22</v>
      </c>
      <c r="N151">
        <v>6.95</v>
      </c>
      <c r="O151">
        <v>6.0999999999999999E-2</v>
      </c>
      <c r="P151">
        <v>2.996</v>
      </c>
      <c r="Q151">
        <v>93.77</v>
      </c>
      <c r="R151">
        <v>14.484999999999999</v>
      </c>
      <c r="S151">
        <v>64.48</v>
      </c>
    </row>
    <row r="152" spans="1:19" x14ac:dyDescent="0.3">
      <c r="A152" s="2">
        <v>44133</v>
      </c>
      <c r="B152">
        <v>34.56</v>
      </c>
      <c r="C152">
        <v>45.67</v>
      </c>
      <c r="D152">
        <v>55.01</v>
      </c>
      <c r="E152">
        <v>57.37</v>
      </c>
      <c r="F152">
        <v>56.1</v>
      </c>
      <c r="G152">
        <v>36.17</v>
      </c>
      <c r="H152">
        <v>37.65</v>
      </c>
      <c r="I152">
        <v>40.68</v>
      </c>
      <c r="J152">
        <v>32.97</v>
      </c>
      <c r="K152">
        <v>13.64</v>
      </c>
      <c r="L152">
        <v>51896.97</v>
      </c>
      <c r="M152">
        <v>46360.37</v>
      </c>
      <c r="N152">
        <v>6.9249999999999998</v>
      </c>
      <c r="O152">
        <v>6.0949999999999997E-2</v>
      </c>
      <c r="P152">
        <v>3.3010000000000002</v>
      </c>
      <c r="Q152">
        <v>95.7</v>
      </c>
      <c r="R152">
        <v>14.215</v>
      </c>
      <c r="S152">
        <v>64.45</v>
      </c>
    </row>
    <row r="153" spans="1:19" x14ac:dyDescent="0.3">
      <c r="A153" s="2">
        <v>44134</v>
      </c>
      <c r="B153">
        <v>35.11</v>
      </c>
      <c r="C153">
        <v>46.43</v>
      </c>
      <c r="D153">
        <v>55.61</v>
      </c>
      <c r="E153">
        <v>59.71</v>
      </c>
      <c r="F153">
        <v>56.48</v>
      </c>
      <c r="G153">
        <v>35.79</v>
      </c>
      <c r="H153">
        <v>37.46</v>
      </c>
      <c r="I153">
        <v>40.659999999999997</v>
      </c>
      <c r="J153">
        <v>32.619999999999997</v>
      </c>
      <c r="K153">
        <v>13.4</v>
      </c>
      <c r="L153">
        <v>51684.7</v>
      </c>
      <c r="M153">
        <v>45767.22</v>
      </c>
      <c r="N153">
        <v>7.02</v>
      </c>
      <c r="O153">
        <v>6.1510000000000002E-2</v>
      </c>
      <c r="P153">
        <v>3.3540000000000001</v>
      </c>
      <c r="Q153">
        <v>94.4</v>
      </c>
      <c r="R153">
        <v>14.06</v>
      </c>
      <c r="S153">
        <v>63.77</v>
      </c>
    </row>
    <row r="154" spans="1:19" x14ac:dyDescent="0.3">
      <c r="A154" s="2">
        <v>44137</v>
      </c>
      <c r="B154">
        <v>35.11</v>
      </c>
      <c r="C154">
        <v>46.43</v>
      </c>
      <c r="D154">
        <v>55.61</v>
      </c>
      <c r="E154">
        <v>59.71</v>
      </c>
      <c r="F154">
        <v>56.48</v>
      </c>
      <c r="G154">
        <v>36.81</v>
      </c>
      <c r="H154">
        <v>38.97</v>
      </c>
      <c r="I154">
        <v>38.36</v>
      </c>
      <c r="J154">
        <v>33.99</v>
      </c>
      <c r="K154">
        <v>13.52</v>
      </c>
      <c r="L154">
        <v>52618.04</v>
      </c>
      <c r="M154">
        <v>47245.22</v>
      </c>
      <c r="N154">
        <v>6.915</v>
      </c>
      <c r="O154">
        <v>6.1609999999999998E-2</v>
      </c>
      <c r="P154">
        <v>3.2440000000000002</v>
      </c>
      <c r="Q154">
        <v>94.66</v>
      </c>
      <c r="R154">
        <v>13.654999999999999</v>
      </c>
      <c r="S154">
        <v>61.88</v>
      </c>
    </row>
    <row r="155" spans="1:19" x14ac:dyDescent="0.3">
      <c r="A155" s="2">
        <v>44138</v>
      </c>
      <c r="B155">
        <v>35.11</v>
      </c>
      <c r="C155">
        <v>46.43</v>
      </c>
      <c r="D155">
        <v>55.61</v>
      </c>
      <c r="E155">
        <v>59.71</v>
      </c>
      <c r="F155">
        <v>56.48</v>
      </c>
      <c r="G155">
        <v>37.659999999999997</v>
      </c>
      <c r="H155">
        <v>39.71</v>
      </c>
      <c r="I155">
        <v>39.159999999999997</v>
      </c>
      <c r="J155">
        <v>33.409999999999997</v>
      </c>
      <c r="K155">
        <v>13.56</v>
      </c>
      <c r="L155">
        <v>53187.81</v>
      </c>
      <c r="M155">
        <v>48417.1</v>
      </c>
      <c r="N155">
        <v>6.8</v>
      </c>
      <c r="O155">
        <v>6.2210000000000001E-2</v>
      </c>
      <c r="P155">
        <v>3.0590000000000002</v>
      </c>
      <c r="Q155">
        <v>96.06</v>
      </c>
      <c r="R155">
        <v>13.664999999999999</v>
      </c>
      <c r="S155">
        <v>61.98</v>
      </c>
    </row>
    <row r="156" spans="1:19" x14ac:dyDescent="0.3">
      <c r="A156" s="2">
        <v>44139</v>
      </c>
      <c r="B156">
        <v>35.11</v>
      </c>
      <c r="C156">
        <v>46.43</v>
      </c>
      <c r="D156">
        <v>55.61</v>
      </c>
      <c r="E156">
        <v>59.71</v>
      </c>
      <c r="F156">
        <v>56.48</v>
      </c>
      <c r="G156">
        <v>39.15</v>
      </c>
      <c r="H156">
        <v>41.23</v>
      </c>
      <c r="I156">
        <v>40.549999999999997</v>
      </c>
      <c r="J156">
        <v>33.229999999999997</v>
      </c>
      <c r="K156">
        <v>13.56</v>
      </c>
      <c r="L156">
        <v>53656.21</v>
      </c>
      <c r="M156">
        <v>47790.53</v>
      </c>
      <c r="N156">
        <v>6.8550000000000004</v>
      </c>
      <c r="O156">
        <v>6.2939999999999996E-2</v>
      </c>
      <c r="P156">
        <v>3.0459999999999998</v>
      </c>
      <c r="Q156">
        <v>98.36</v>
      </c>
      <c r="R156">
        <v>13.885</v>
      </c>
      <c r="S156">
        <v>60.42</v>
      </c>
    </row>
    <row r="157" spans="1:19" x14ac:dyDescent="0.3">
      <c r="A157" s="2">
        <v>44140</v>
      </c>
      <c r="B157">
        <v>35.11</v>
      </c>
      <c r="C157">
        <v>46.43</v>
      </c>
      <c r="D157">
        <v>55.61</v>
      </c>
      <c r="E157">
        <v>59.71</v>
      </c>
      <c r="F157">
        <v>56.48</v>
      </c>
      <c r="G157">
        <v>38.79</v>
      </c>
      <c r="H157">
        <v>40.93</v>
      </c>
      <c r="I157">
        <v>40.14</v>
      </c>
      <c r="J157">
        <v>33.17</v>
      </c>
      <c r="K157">
        <v>13.76</v>
      </c>
      <c r="L157">
        <v>55225.24</v>
      </c>
      <c r="M157">
        <v>49005.08</v>
      </c>
      <c r="N157">
        <v>6.8550000000000004</v>
      </c>
      <c r="O157">
        <v>6.3700000000000007E-2</v>
      </c>
      <c r="P157">
        <v>2.9420000000000002</v>
      </c>
      <c r="Q157">
        <v>100.96</v>
      </c>
      <c r="R157">
        <v>14.455</v>
      </c>
      <c r="S157">
        <v>62.27</v>
      </c>
    </row>
    <row r="158" spans="1:19" x14ac:dyDescent="0.3">
      <c r="A158" s="2">
        <v>44141</v>
      </c>
      <c r="B158">
        <v>36.130000000000003</v>
      </c>
      <c r="C158">
        <v>47.56</v>
      </c>
      <c r="D158">
        <v>56.76</v>
      </c>
      <c r="E158">
        <v>61.35</v>
      </c>
      <c r="F158">
        <v>57.65</v>
      </c>
      <c r="G158">
        <v>37.14</v>
      </c>
      <c r="H158">
        <v>39.450000000000003</v>
      </c>
      <c r="I158">
        <v>39.28</v>
      </c>
      <c r="J158">
        <v>32.78</v>
      </c>
      <c r="K158">
        <v>14</v>
      </c>
      <c r="L158">
        <v>56387.040000000001</v>
      </c>
      <c r="M158">
        <v>50057.87</v>
      </c>
      <c r="N158">
        <v>6.9050000000000002</v>
      </c>
      <c r="O158">
        <v>6.4030000000000004E-2</v>
      </c>
      <c r="P158">
        <v>2.8879999999999999</v>
      </c>
      <c r="Q158">
        <v>100.66</v>
      </c>
      <c r="R158">
        <v>13.9</v>
      </c>
      <c r="S158">
        <v>64.8</v>
      </c>
    </row>
    <row r="159" spans="1:19" x14ac:dyDescent="0.3">
      <c r="A159" s="2">
        <v>44144</v>
      </c>
      <c r="B159">
        <v>36.130000000000003</v>
      </c>
      <c r="C159">
        <v>47.56</v>
      </c>
      <c r="D159">
        <v>56.76</v>
      </c>
      <c r="E159">
        <v>61.35</v>
      </c>
      <c r="F159">
        <v>57.65</v>
      </c>
      <c r="G159">
        <v>40.29</v>
      </c>
      <c r="H159">
        <v>42.4</v>
      </c>
      <c r="I159">
        <v>41.4</v>
      </c>
      <c r="J159">
        <v>36.93</v>
      </c>
      <c r="K159">
        <v>13.88</v>
      </c>
      <c r="L159">
        <v>57307.49</v>
      </c>
      <c r="M159">
        <v>49279.67</v>
      </c>
      <c r="N159">
        <v>6.9050000000000002</v>
      </c>
      <c r="O159">
        <v>6.5000000000000002E-2</v>
      </c>
      <c r="P159">
        <v>2.859</v>
      </c>
      <c r="Q159">
        <v>98.22</v>
      </c>
      <c r="R159">
        <v>13.855</v>
      </c>
      <c r="S159">
        <v>65.569999999999993</v>
      </c>
    </row>
    <row r="160" spans="1:19" x14ac:dyDescent="0.3">
      <c r="A160" s="2">
        <v>44145</v>
      </c>
      <c r="B160">
        <v>36.130000000000003</v>
      </c>
      <c r="C160">
        <v>47.56</v>
      </c>
      <c r="D160">
        <v>56.76</v>
      </c>
      <c r="E160">
        <v>61.35</v>
      </c>
      <c r="F160">
        <v>57.65</v>
      </c>
      <c r="G160">
        <v>41.36</v>
      </c>
      <c r="H160">
        <v>43.61</v>
      </c>
      <c r="I160">
        <v>42.19</v>
      </c>
      <c r="J160">
        <v>36.86</v>
      </c>
      <c r="K160">
        <v>14.3</v>
      </c>
      <c r="L160">
        <v>57672.12</v>
      </c>
      <c r="M160">
        <v>50568.22</v>
      </c>
      <c r="N160">
        <v>6.9050000000000002</v>
      </c>
      <c r="O160">
        <v>6.3939999999999997E-2</v>
      </c>
      <c r="P160">
        <v>2.9489999999999998</v>
      </c>
      <c r="Q160">
        <v>98</v>
      </c>
      <c r="R160">
        <v>14.035</v>
      </c>
      <c r="S160">
        <v>67.22</v>
      </c>
    </row>
    <row r="161" spans="1:19" x14ac:dyDescent="0.3">
      <c r="A161" s="2">
        <v>44146</v>
      </c>
      <c r="B161">
        <v>36.130000000000003</v>
      </c>
      <c r="C161">
        <v>47.56</v>
      </c>
      <c r="D161">
        <v>56.76</v>
      </c>
      <c r="E161">
        <v>61.35</v>
      </c>
      <c r="F161">
        <v>57.65</v>
      </c>
      <c r="G161">
        <v>41.45</v>
      </c>
      <c r="H161">
        <v>43.8</v>
      </c>
      <c r="I161">
        <v>42.36</v>
      </c>
      <c r="J161">
        <v>36.479999999999997</v>
      </c>
      <c r="K161">
        <v>14.9</v>
      </c>
      <c r="L161">
        <v>57607.3</v>
      </c>
      <c r="M161">
        <v>50034.99</v>
      </c>
      <c r="N161">
        <v>6.9050000000000002</v>
      </c>
      <c r="O161">
        <v>6.3920000000000005E-2</v>
      </c>
      <c r="P161">
        <v>3.0310000000000001</v>
      </c>
      <c r="Q161">
        <v>99.98</v>
      </c>
      <c r="R161">
        <v>14.095000000000001</v>
      </c>
      <c r="S161">
        <v>68.08</v>
      </c>
    </row>
    <row r="162" spans="1:19" x14ac:dyDescent="0.3">
      <c r="A162" s="2">
        <v>44147</v>
      </c>
      <c r="B162">
        <v>36.130000000000003</v>
      </c>
      <c r="C162">
        <v>47.56</v>
      </c>
      <c r="D162">
        <v>56.76</v>
      </c>
      <c r="E162">
        <v>61.35</v>
      </c>
      <c r="F162">
        <v>57.65</v>
      </c>
      <c r="G162">
        <v>41.12</v>
      </c>
      <c r="H162">
        <v>43.53</v>
      </c>
      <c r="I162">
        <v>42.37</v>
      </c>
      <c r="J162">
        <v>35.229999999999997</v>
      </c>
      <c r="K162">
        <v>14.76</v>
      </c>
      <c r="L162">
        <v>57031.19</v>
      </c>
      <c r="M162">
        <v>48832</v>
      </c>
      <c r="N162">
        <v>6.9</v>
      </c>
      <c r="O162">
        <v>6.3839999999999994E-2</v>
      </c>
      <c r="P162">
        <v>2.976</v>
      </c>
      <c r="Q162">
        <v>98.31</v>
      </c>
      <c r="R162">
        <v>14</v>
      </c>
      <c r="S162">
        <v>69.569999999999993</v>
      </c>
    </row>
    <row r="163" spans="1:19" x14ac:dyDescent="0.3">
      <c r="A163" s="2">
        <v>44148</v>
      </c>
      <c r="B163">
        <v>38.86</v>
      </c>
      <c r="C163">
        <v>50.86</v>
      </c>
      <c r="D163">
        <v>60.87</v>
      </c>
      <c r="E163">
        <v>67.13</v>
      </c>
      <c r="F163">
        <v>59.33</v>
      </c>
      <c r="G163">
        <v>40.130000000000003</v>
      </c>
      <c r="H163">
        <v>42.78</v>
      </c>
      <c r="I163">
        <v>41.87</v>
      </c>
      <c r="J163">
        <v>36.08</v>
      </c>
      <c r="K163">
        <v>14.32</v>
      </c>
      <c r="L163">
        <v>57182.6</v>
      </c>
      <c r="M163">
        <v>49324.06</v>
      </c>
      <c r="N163">
        <v>6.899</v>
      </c>
      <c r="O163">
        <v>6.4519999999999994E-2</v>
      </c>
      <c r="P163">
        <v>2.9950000000000001</v>
      </c>
      <c r="Q163">
        <v>99.35</v>
      </c>
      <c r="R163">
        <v>14.24</v>
      </c>
      <c r="S163">
        <v>68.98</v>
      </c>
    </row>
    <row r="164" spans="1:19" x14ac:dyDescent="0.3">
      <c r="A164" s="2">
        <v>44151</v>
      </c>
      <c r="B164">
        <v>38.86</v>
      </c>
      <c r="C164">
        <v>50.86</v>
      </c>
      <c r="D164">
        <v>60.87</v>
      </c>
      <c r="E164">
        <v>67.13</v>
      </c>
      <c r="F164">
        <v>59.33</v>
      </c>
      <c r="G164">
        <v>41.34</v>
      </c>
      <c r="H164">
        <v>43.82</v>
      </c>
      <c r="I164">
        <v>42.52</v>
      </c>
      <c r="J164">
        <v>38.159999999999997</v>
      </c>
      <c r="K164">
        <v>14.72</v>
      </c>
      <c r="L164">
        <v>57267</v>
      </c>
      <c r="M164">
        <v>50148.46</v>
      </c>
      <c r="N164">
        <v>6.75</v>
      </c>
      <c r="O164">
        <v>6.5170000000000006E-2</v>
      </c>
      <c r="P164">
        <v>2.6970000000000001</v>
      </c>
      <c r="Q164">
        <v>99.71</v>
      </c>
      <c r="R164">
        <v>14.494999999999999</v>
      </c>
      <c r="S164">
        <v>141.61602674307539</v>
      </c>
    </row>
    <row r="165" spans="1:19" x14ac:dyDescent="0.3">
      <c r="A165" s="2">
        <v>44152</v>
      </c>
      <c r="B165">
        <v>38.86</v>
      </c>
      <c r="C165">
        <v>50.86</v>
      </c>
      <c r="D165">
        <v>60.87</v>
      </c>
      <c r="E165">
        <v>67.13</v>
      </c>
      <c r="F165">
        <v>59.33</v>
      </c>
      <c r="G165">
        <v>41.43</v>
      </c>
      <c r="H165">
        <v>43.75</v>
      </c>
      <c r="I165">
        <v>42.49</v>
      </c>
      <c r="J165">
        <v>38.67</v>
      </c>
      <c r="K165">
        <v>14.86</v>
      </c>
      <c r="L165">
        <v>57053.01</v>
      </c>
      <c r="M165">
        <v>49378.38</v>
      </c>
      <c r="N165">
        <v>6.5650000000000004</v>
      </c>
      <c r="O165">
        <v>6.4879999999999993E-2</v>
      </c>
      <c r="P165">
        <v>2.6920000000000002</v>
      </c>
      <c r="Q165">
        <v>100.03</v>
      </c>
      <c r="R165">
        <v>13.97</v>
      </c>
      <c r="S165">
        <v>69.42</v>
      </c>
    </row>
    <row r="166" spans="1:19" x14ac:dyDescent="0.3">
      <c r="A166" s="2">
        <v>44153</v>
      </c>
      <c r="B166">
        <v>38.86</v>
      </c>
      <c r="C166">
        <v>50.86</v>
      </c>
      <c r="D166">
        <v>60.87</v>
      </c>
      <c r="E166">
        <v>67.13</v>
      </c>
      <c r="F166">
        <v>59.33</v>
      </c>
      <c r="G166">
        <v>41.82</v>
      </c>
      <c r="H166">
        <v>44.34</v>
      </c>
      <c r="I166">
        <v>42.69</v>
      </c>
      <c r="J166">
        <v>37.21</v>
      </c>
      <c r="K166">
        <v>14.78</v>
      </c>
      <c r="L166">
        <v>57323.67</v>
      </c>
      <c r="M166">
        <v>49492.18</v>
      </c>
      <c r="N166">
        <v>6.43</v>
      </c>
      <c r="O166">
        <v>6.4649999999999999E-2</v>
      </c>
      <c r="P166">
        <v>2.7120000000000002</v>
      </c>
      <c r="Q166">
        <v>99.46</v>
      </c>
      <c r="R166">
        <v>13.68</v>
      </c>
      <c r="S166">
        <v>69.45</v>
      </c>
    </row>
    <row r="167" spans="1:19" x14ac:dyDescent="0.3">
      <c r="A167" s="2">
        <v>44154</v>
      </c>
      <c r="B167">
        <v>38.86</v>
      </c>
      <c r="C167">
        <v>50.86</v>
      </c>
      <c r="D167">
        <v>60.87</v>
      </c>
      <c r="E167">
        <v>67.13</v>
      </c>
      <c r="F167">
        <v>59.33</v>
      </c>
      <c r="G167">
        <v>41.74</v>
      </c>
      <c r="H167">
        <v>44.2</v>
      </c>
      <c r="I167">
        <v>42.6</v>
      </c>
      <c r="J167">
        <v>37.4</v>
      </c>
      <c r="K167">
        <v>14.48</v>
      </c>
      <c r="L167">
        <v>56753.49</v>
      </c>
      <c r="M167">
        <v>49043.22</v>
      </c>
      <c r="N167">
        <v>6.25</v>
      </c>
      <c r="O167">
        <v>6.4829999999999999E-2</v>
      </c>
      <c r="P167">
        <v>2.5920000000000001</v>
      </c>
      <c r="Q167">
        <v>100.9</v>
      </c>
      <c r="R167">
        <v>13.02</v>
      </c>
      <c r="S167">
        <v>68.48</v>
      </c>
    </row>
    <row r="168" spans="1:19" x14ac:dyDescent="0.3">
      <c r="A168" s="2">
        <v>44155</v>
      </c>
      <c r="B168">
        <v>40.1</v>
      </c>
      <c r="C168">
        <v>51.78</v>
      </c>
      <c r="D168">
        <v>62.43</v>
      </c>
      <c r="E168">
        <v>69.790000000000006</v>
      </c>
      <c r="F168">
        <v>60.38</v>
      </c>
      <c r="G168">
        <v>42.15</v>
      </c>
      <c r="H168">
        <v>44.96</v>
      </c>
      <c r="I168">
        <v>42.84</v>
      </c>
      <c r="J168">
        <v>36.94</v>
      </c>
      <c r="K168">
        <v>14.42</v>
      </c>
      <c r="L168">
        <v>56615.28</v>
      </c>
      <c r="M168">
        <v>49208.54</v>
      </c>
      <c r="N168">
        <v>6.375</v>
      </c>
      <c r="O168">
        <v>6.479E-2</v>
      </c>
      <c r="P168">
        <v>2.65</v>
      </c>
      <c r="Q168">
        <v>101.06</v>
      </c>
      <c r="R168">
        <v>12.895</v>
      </c>
      <c r="S168">
        <v>68.38</v>
      </c>
    </row>
    <row r="169" spans="1:19" x14ac:dyDescent="0.3">
      <c r="A169" s="2">
        <v>44158</v>
      </c>
      <c r="B169">
        <v>40.1</v>
      </c>
      <c r="C169">
        <v>51.78</v>
      </c>
      <c r="D169">
        <v>62.43</v>
      </c>
      <c r="E169">
        <v>69.790000000000006</v>
      </c>
      <c r="F169">
        <v>60.38</v>
      </c>
      <c r="G169">
        <v>43.06</v>
      </c>
      <c r="H169">
        <v>46.06</v>
      </c>
      <c r="I169">
        <v>43.08</v>
      </c>
      <c r="J169">
        <v>39.36</v>
      </c>
      <c r="K169">
        <v>14.8</v>
      </c>
      <c r="L169">
        <v>57147.31</v>
      </c>
      <c r="M169">
        <v>49420.12</v>
      </c>
      <c r="N169">
        <v>6.55</v>
      </c>
      <c r="O169">
        <v>6.4710000000000004E-2</v>
      </c>
      <c r="P169">
        <v>2.7109999999999999</v>
      </c>
      <c r="Q169">
        <v>102.36</v>
      </c>
      <c r="R169">
        <v>13.535</v>
      </c>
      <c r="S169">
        <v>68.87</v>
      </c>
    </row>
    <row r="170" spans="1:19" x14ac:dyDescent="0.3">
      <c r="A170" s="2">
        <v>44159</v>
      </c>
      <c r="B170">
        <v>40.1</v>
      </c>
      <c r="C170">
        <v>51.78</v>
      </c>
      <c r="D170">
        <v>62.43</v>
      </c>
      <c r="E170">
        <v>69.790000000000006</v>
      </c>
      <c r="F170">
        <v>60.38</v>
      </c>
      <c r="G170">
        <v>44.91</v>
      </c>
      <c r="H170">
        <v>47.86</v>
      </c>
      <c r="I170">
        <v>43.4</v>
      </c>
      <c r="J170">
        <v>41.98</v>
      </c>
      <c r="K170">
        <v>15.08</v>
      </c>
      <c r="L170">
        <v>57761.919999999998</v>
      </c>
      <c r="M170">
        <v>49899.85</v>
      </c>
      <c r="N170">
        <v>6.7450000000000001</v>
      </c>
      <c r="O170">
        <v>6.5710000000000005E-2</v>
      </c>
      <c r="P170">
        <v>2.7749999999999999</v>
      </c>
      <c r="Q170">
        <v>103.07</v>
      </c>
      <c r="R170">
        <v>13.9</v>
      </c>
      <c r="S170">
        <v>70.75</v>
      </c>
    </row>
    <row r="171" spans="1:19" x14ac:dyDescent="0.3">
      <c r="A171" s="2">
        <v>44160</v>
      </c>
      <c r="B171">
        <v>40.1</v>
      </c>
      <c r="C171">
        <v>51.78</v>
      </c>
      <c r="D171">
        <v>62.43</v>
      </c>
      <c r="E171">
        <v>69.790000000000006</v>
      </c>
      <c r="F171">
        <v>60.38</v>
      </c>
      <c r="G171">
        <v>45.71</v>
      </c>
      <c r="H171">
        <v>48.61</v>
      </c>
      <c r="I171">
        <v>43.52</v>
      </c>
      <c r="J171">
        <v>40.81</v>
      </c>
      <c r="K171">
        <v>15.12</v>
      </c>
      <c r="L171">
        <v>57742.19</v>
      </c>
      <c r="M171">
        <v>50036.44</v>
      </c>
      <c r="N171">
        <v>6.95</v>
      </c>
      <c r="O171">
        <v>6.6059999999999994E-2</v>
      </c>
      <c r="P171">
        <v>2.8959999999999999</v>
      </c>
      <c r="Q171">
        <v>103.93</v>
      </c>
      <c r="R171">
        <v>13.93</v>
      </c>
      <c r="S171">
        <v>70.58</v>
      </c>
    </row>
    <row r="172" spans="1:19" x14ac:dyDescent="0.3">
      <c r="A172" s="2">
        <v>44161</v>
      </c>
      <c r="B172">
        <v>40.1</v>
      </c>
      <c r="C172">
        <v>51.78</v>
      </c>
      <c r="D172">
        <v>62.43</v>
      </c>
      <c r="E172">
        <v>69.790000000000006</v>
      </c>
      <c r="F172">
        <v>60.38</v>
      </c>
      <c r="G172">
        <v>44.98</v>
      </c>
      <c r="H172">
        <v>47.8</v>
      </c>
      <c r="I172">
        <v>74.752492970946577</v>
      </c>
      <c r="J172">
        <v>80.871012183692585</v>
      </c>
      <c r="K172">
        <v>15.4</v>
      </c>
      <c r="L172">
        <v>57923.69</v>
      </c>
      <c r="M172">
        <v>50308.43</v>
      </c>
      <c r="N172">
        <v>17.62252908067542</v>
      </c>
      <c r="O172">
        <v>6.5820000000000004E-2</v>
      </c>
      <c r="P172">
        <v>2.93</v>
      </c>
      <c r="Q172">
        <v>112.7561105904405</v>
      </c>
      <c r="R172">
        <v>57.384855947955387</v>
      </c>
      <c r="S172">
        <v>70.87</v>
      </c>
    </row>
    <row r="173" spans="1:19" x14ac:dyDescent="0.3">
      <c r="A173" s="2">
        <v>44162</v>
      </c>
      <c r="B173">
        <v>43.19</v>
      </c>
      <c r="C173">
        <v>55.76</v>
      </c>
      <c r="D173">
        <v>68.39</v>
      </c>
      <c r="E173">
        <v>77.72</v>
      </c>
      <c r="F173">
        <v>66.19</v>
      </c>
      <c r="G173">
        <v>45.53</v>
      </c>
      <c r="H173">
        <v>48.18</v>
      </c>
      <c r="I173">
        <v>43.44</v>
      </c>
      <c r="J173">
        <v>40.19</v>
      </c>
      <c r="K173">
        <v>15.36</v>
      </c>
      <c r="L173">
        <v>57822.5</v>
      </c>
      <c r="M173">
        <v>50282.66</v>
      </c>
      <c r="N173">
        <v>7.15</v>
      </c>
      <c r="O173">
        <v>6.5500000000000003E-2</v>
      </c>
      <c r="P173">
        <v>2.843</v>
      </c>
      <c r="Q173">
        <v>104.99</v>
      </c>
      <c r="R173">
        <v>14.484999999999999</v>
      </c>
      <c r="S173">
        <v>72.569999999999993</v>
      </c>
    </row>
    <row r="174" spans="1:19" x14ac:dyDescent="0.3">
      <c r="A174" s="2">
        <v>44165</v>
      </c>
      <c r="B174">
        <v>43.19</v>
      </c>
      <c r="C174">
        <v>55.76</v>
      </c>
      <c r="D174">
        <v>68.39</v>
      </c>
      <c r="E174">
        <v>77.72</v>
      </c>
      <c r="F174">
        <v>66.19</v>
      </c>
      <c r="G174">
        <v>45.34</v>
      </c>
      <c r="H174">
        <v>47.59</v>
      </c>
      <c r="I174">
        <v>43.39</v>
      </c>
      <c r="J174">
        <v>38.130000000000003</v>
      </c>
      <c r="K174">
        <v>14.98</v>
      </c>
      <c r="L174">
        <v>57091.89</v>
      </c>
      <c r="M174">
        <v>50269.89</v>
      </c>
      <c r="N174">
        <v>7.3250000000000002</v>
      </c>
      <c r="O174">
        <v>6.4589999999999995E-2</v>
      </c>
      <c r="P174">
        <v>2.8820000000000001</v>
      </c>
      <c r="Q174">
        <v>105.51</v>
      </c>
      <c r="R174">
        <v>15.14</v>
      </c>
      <c r="S174">
        <v>141.61602674307539</v>
      </c>
    </row>
    <row r="175" spans="1:19" x14ac:dyDescent="0.3">
      <c r="A175" s="2">
        <v>44166</v>
      </c>
      <c r="B175">
        <v>43.19</v>
      </c>
      <c r="C175">
        <v>55.76</v>
      </c>
      <c r="D175">
        <v>68.39</v>
      </c>
      <c r="E175">
        <v>77.72</v>
      </c>
      <c r="F175">
        <v>66.19</v>
      </c>
      <c r="G175">
        <v>44.55</v>
      </c>
      <c r="H175">
        <v>47.42</v>
      </c>
      <c r="I175">
        <v>46.96</v>
      </c>
      <c r="J175">
        <v>38.5</v>
      </c>
      <c r="K175">
        <v>15.06</v>
      </c>
      <c r="L175">
        <v>57509.72</v>
      </c>
      <c r="M175">
        <v>51251.76</v>
      </c>
      <c r="N175">
        <v>7.3250000000000002</v>
      </c>
      <c r="O175">
        <v>6.5530000000000005E-2</v>
      </c>
      <c r="P175">
        <v>2.88</v>
      </c>
      <c r="Q175">
        <v>107.16</v>
      </c>
      <c r="R175">
        <v>14.91</v>
      </c>
      <c r="S175">
        <v>72.67</v>
      </c>
    </row>
    <row r="176" spans="1:19" x14ac:dyDescent="0.3">
      <c r="A176" s="2">
        <v>44167</v>
      </c>
      <c r="B176">
        <v>43.19</v>
      </c>
      <c r="C176">
        <v>55.76</v>
      </c>
      <c r="D176">
        <v>68.39</v>
      </c>
      <c r="E176">
        <v>77.72</v>
      </c>
      <c r="F176">
        <v>66.19</v>
      </c>
      <c r="G176">
        <v>45.28</v>
      </c>
      <c r="H176">
        <v>48.25</v>
      </c>
      <c r="I176">
        <v>47.67</v>
      </c>
      <c r="J176">
        <v>39.94</v>
      </c>
      <c r="K176">
        <v>15.26</v>
      </c>
      <c r="L176">
        <v>58281.98</v>
      </c>
      <c r="M176">
        <v>53177.46</v>
      </c>
      <c r="N176">
        <v>7.55</v>
      </c>
      <c r="O176">
        <v>6.5369999999999998E-2</v>
      </c>
      <c r="P176">
        <v>2.78</v>
      </c>
      <c r="Q176">
        <v>106.56</v>
      </c>
      <c r="R176">
        <v>14.904999999999999</v>
      </c>
      <c r="S176">
        <v>72.27</v>
      </c>
    </row>
    <row r="177" spans="1:19" x14ac:dyDescent="0.3">
      <c r="A177" s="2">
        <v>44168</v>
      </c>
      <c r="B177">
        <v>43.19</v>
      </c>
      <c r="C177">
        <v>55.76</v>
      </c>
      <c r="D177">
        <v>68.39</v>
      </c>
      <c r="E177">
        <v>77.72</v>
      </c>
      <c r="F177">
        <v>66.19</v>
      </c>
      <c r="G177">
        <v>45.64</v>
      </c>
      <c r="H177">
        <v>48.71</v>
      </c>
      <c r="I177">
        <v>48.04</v>
      </c>
      <c r="J177">
        <v>40.21</v>
      </c>
      <c r="K177">
        <v>15.08</v>
      </c>
      <c r="L177">
        <v>58947.48</v>
      </c>
      <c r="M177">
        <v>54270.48</v>
      </c>
      <c r="N177">
        <v>7.5</v>
      </c>
      <c r="O177">
        <v>6.5960000000000005E-2</v>
      </c>
      <c r="P177">
        <v>2.5070000000000001</v>
      </c>
      <c r="Q177">
        <v>107.46</v>
      </c>
      <c r="R177">
        <v>14.145</v>
      </c>
      <c r="S177">
        <v>71.67</v>
      </c>
    </row>
    <row r="178" spans="1:19" x14ac:dyDescent="0.3">
      <c r="A178" s="2">
        <v>44169</v>
      </c>
      <c r="B178">
        <v>44.27</v>
      </c>
      <c r="C178">
        <v>59.58</v>
      </c>
      <c r="D178">
        <v>74.180000000000007</v>
      </c>
      <c r="E178">
        <v>81.900000000000006</v>
      </c>
      <c r="F178">
        <v>71.19</v>
      </c>
      <c r="G178">
        <v>46.26</v>
      </c>
      <c r="H178">
        <v>49.25</v>
      </c>
      <c r="I178">
        <v>48.35</v>
      </c>
      <c r="J178">
        <v>41.68</v>
      </c>
      <c r="K178">
        <v>14.76</v>
      </c>
      <c r="L178">
        <v>59419.37</v>
      </c>
      <c r="M178">
        <v>54643.47</v>
      </c>
      <c r="N178">
        <v>7.4950000000000001</v>
      </c>
      <c r="O178">
        <v>6.5710000000000005E-2</v>
      </c>
      <c r="P178">
        <v>2.5750000000000002</v>
      </c>
      <c r="Q178">
        <v>109.23</v>
      </c>
      <c r="R178">
        <v>14.645</v>
      </c>
      <c r="S178">
        <v>71.83</v>
      </c>
    </row>
    <row r="179" spans="1:19" x14ac:dyDescent="0.3">
      <c r="A179" s="2">
        <v>44172</v>
      </c>
      <c r="B179">
        <v>44.27</v>
      </c>
      <c r="C179">
        <v>59.58</v>
      </c>
      <c r="D179">
        <v>74.180000000000007</v>
      </c>
      <c r="E179">
        <v>81.900000000000006</v>
      </c>
      <c r="F179">
        <v>71.19</v>
      </c>
      <c r="G179">
        <v>45.76</v>
      </c>
      <c r="H179">
        <v>48.79</v>
      </c>
      <c r="I179">
        <v>48.23</v>
      </c>
      <c r="J179">
        <v>40.9</v>
      </c>
      <c r="K179">
        <v>14.28</v>
      </c>
      <c r="L179">
        <v>59527.7</v>
      </c>
      <c r="M179">
        <v>55125.7</v>
      </c>
      <c r="N179">
        <v>7.6</v>
      </c>
      <c r="O179">
        <v>6.5979999999999997E-2</v>
      </c>
      <c r="P179">
        <v>2.4060000000000001</v>
      </c>
      <c r="Q179">
        <v>110.28</v>
      </c>
      <c r="R179">
        <v>14.355</v>
      </c>
      <c r="S179">
        <v>71.42</v>
      </c>
    </row>
    <row r="180" spans="1:19" x14ac:dyDescent="0.3">
      <c r="A180" s="2">
        <v>44173</v>
      </c>
      <c r="B180">
        <v>44.27</v>
      </c>
      <c r="C180">
        <v>59.58</v>
      </c>
      <c r="D180">
        <v>74.180000000000007</v>
      </c>
      <c r="E180">
        <v>81.900000000000006</v>
      </c>
      <c r="F180">
        <v>71.19</v>
      </c>
      <c r="G180">
        <v>45.6</v>
      </c>
      <c r="H180">
        <v>48.84</v>
      </c>
      <c r="I180">
        <v>48.28</v>
      </c>
      <c r="J180">
        <v>42.24</v>
      </c>
      <c r="K180">
        <v>14.3</v>
      </c>
      <c r="L180">
        <v>59159.360000000001</v>
      </c>
      <c r="M180">
        <v>54597.75</v>
      </c>
      <c r="N180">
        <v>7.6950000000000003</v>
      </c>
      <c r="O180">
        <v>6.6689999999999999E-2</v>
      </c>
      <c r="P180">
        <v>2.399</v>
      </c>
      <c r="Q180">
        <v>110.06</v>
      </c>
      <c r="R180">
        <v>14.445</v>
      </c>
      <c r="S180">
        <v>71.400000000000006</v>
      </c>
    </row>
    <row r="181" spans="1:19" x14ac:dyDescent="0.3">
      <c r="A181" s="2">
        <v>44174</v>
      </c>
      <c r="B181">
        <v>44.27</v>
      </c>
      <c r="C181">
        <v>59.58</v>
      </c>
      <c r="D181">
        <v>74.180000000000007</v>
      </c>
      <c r="E181">
        <v>81.900000000000006</v>
      </c>
      <c r="F181">
        <v>71.19</v>
      </c>
      <c r="G181">
        <v>45.52</v>
      </c>
      <c r="H181">
        <v>48.86</v>
      </c>
      <c r="I181">
        <v>48.42</v>
      </c>
      <c r="J181">
        <v>42.8</v>
      </c>
      <c r="K181">
        <v>14.52</v>
      </c>
      <c r="L181">
        <v>59291.75</v>
      </c>
      <c r="M181">
        <v>54139.51</v>
      </c>
      <c r="N181">
        <v>7.82</v>
      </c>
      <c r="O181">
        <v>6.6750000000000004E-2</v>
      </c>
      <c r="P181">
        <v>2.4420000000000002</v>
      </c>
      <c r="Q181">
        <v>110.17</v>
      </c>
      <c r="R181">
        <v>14.734999999999999</v>
      </c>
      <c r="S181">
        <v>72.849999999999994</v>
      </c>
    </row>
    <row r="182" spans="1:19" x14ac:dyDescent="0.3">
      <c r="A182" s="2">
        <v>44175</v>
      </c>
      <c r="B182">
        <v>44.27</v>
      </c>
      <c r="C182">
        <v>59.58</v>
      </c>
      <c r="D182">
        <v>74.180000000000007</v>
      </c>
      <c r="E182">
        <v>81.900000000000006</v>
      </c>
      <c r="F182">
        <v>71.19</v>
      </c>
      <c r="G182">
        <v>46.78</v>
      </c>
      <c r="H182">
        <v>50.25</v>
      </c>
      <c r="I182">
        <v>49.29</v>
      </c>
      <c r="J182">
        <v>44.01</v>
      </c>
      <c r="K182">
        <v>14.58</v>
      </c>
      <c r="L182">
        <v>59282.77</v>
      </c>
      <c r="M182">
        <v>54739.81</v>
      </c>
      <c r="N182">
        <v>7.915</v>
      </c>
      <c r="O182">
        <v>6.6519999999999996E-2</v>
      </c>
      <c r="P182">
        <v>2.5529999999999999</v>
      </c>
      <c r="Q182">
        <v>109.24</v>
      </c>
      <c r="R182">
        <v>15.54</v>
      </c>
      <c r="S182">
        <v>73.680000000000007</v>
      </c>
    </row>
    <row r="183" spans="1:19" x14ac:dyDescent="0.3">
      <c r="A183" s="2">
        <v>44176</v>
      </c>
      <c r="B183">
        <v>44.95</v>
      </c>
      <c r="C183">
        <v>59.94</v>
      </c>
      <c r="D183">
        <v>74.55</v>
      </c>
      <c r="E183">
        <v>84.49</v>
      </c>
      <c r="F183">
        <v>69.44</v>
      </c>
      <c r="G183">
        <v>46.57</v>
      </c>
      <c r="H183">
        <v>49.97</v>
      </c>
      <c r="I183">
        <v>49.22</v>
      </c>
      <c r="J183">
        <v>43.8</v>
      </c>
      <c r="K183">
        <v>14.86</v>
      </c>
      <c r="L183">
        <v>59412.61</v>
      </c>
      <c r="M183">
        <v>54149.14</v>
      </c>
      <c r="N183">
        <v>8.0749999999999993</v>
      </c>
      <c r="O183">
        <v>6.6059999999999994E-2</v>
      </c>
      <c r="P183">
        <v>2.5910000000000002</v>
      </c>
      <c r="Q183">
        <v>108.82</v>
      </c>
      <c r="R183">
        <v>15.96</v>
      </c>
      <c r="S183">
        <v>72.45</v>
      </c>
    </row>
    <row r="184" spans="1:19" x14ac:dyDescent="0.3">
      <c r="A184" s="2">
        <v>44179</v>
      </c>
      <c r="B184">
        <v>44.95</v>
      </c>
      <c r="C184">
        <v>59.94</v>
      </c>
      <c r="D184">
        <v>74.55</v>
      </c>
      <c r="E184">
        <v>84.49</v>
      </c>
      <c r="F184">
        <v>69.44</v>
      </c>
      <c r="G184">
        <v>46.99</v>
      </c>
      <c r="H184">
        <v>50.29</v>
      </c>
      <c r="I184">
        <v>49.46</v>
      </c>
      <c r="J184">
        <v>42.22</v>
      </c>
      <c r="K184">
        <v>14.4</v>
      </c>
      <c r="L184">
        <v>59508.800000000003</v>
      </c>
      <c r="M184">
        <v>54158.43</v>
      </c>
      <c r="N184">
        <v>8.1649999999999991</v>
      </c>
      <c r="O184">
        <v>6.6470000000000001E-2</v>
      </c>
      <c r="P184">
        <v>2.6819999999999999</v>
      </c>
      <c r="Q184">
        <v>107.71</v>
      </c>
      <c r="R184">
        <v>16.605</v>
      </c>
      <c r="S184">
        <v>71.069999999999993</v>
      </c>
    </row>
    <row r="185" spans="1:19" x14ac:dyDescent="0.3">
      <c r="A185" s="2">
        <v>44180</v>
      </c>
      <c r="B185">
        <v>44.95</v>
      </c>
      <c r="C185">
        <v>59.94</v>
      </c>
      <c r="D185">
        <v>74.55</v>
      </c>
      <c r="E185">
        <v>84.49</v>
      </c>
      <c r="F185">
        <v>69.44</v>
      </c>
      <c r="G185">
        <v>47.62</v>
      </c>
      <c r="H185">
        <v>50.76</v>
      </c>
      <c r="I185">
        <v>49.81</v>
      </c>
      <c r="J185">
        <v>43.04</v>
      </c>
      <c r="K185">
        <v>14.6</v>
      </c>
      <c r="L185">
        <v>59478.26</v>
      </c>
      <c r="M185">
        <v>54129.58</v>
      </c>
      <c r="N185">
        <v>8.173</v>
      </c>
      <c r="O185">
        <v>6.7159999999999997E-2</v>
      </c>
      <c r="P185">
        <v>2.6819999999999999</v>
      </c>
      <c r="Q185">
        <v>110.98</v>
      </c>
      <c r="R185">
        <v>17.225000000000001</v>
      </c>
      <c r="S185">
        <v>73</v>
      </c>
    </row>
    <row r="186" spans="1:19" x14ac:dyDescent="0.3">
      <c r="A186" s="2">
        <v>44181</v>
      </c>
      <c r="B186">
        <v>44.95</v>
      </c>
      <c r="C186">
        <v>59.94</v>
      </c>
      <c r="D186">
        <v>74.55</v>
      </c>
      <c r="E186">
        <v>84.49</v>
      </c>
      <c r="F186">
        <v>69.44</v>
      </c>
      <c r="G186">
        <v>47.82</v>
      </c>
      <c r="H186">
        <v>51.08</v>
      </c>
      <c r="I186">
        <v>49.96</v>
      </c>
      <c r="J186">
        <v>43.7</v>
      </c>
      <c r="K186">
        <v>14.64</v>
      </c>
      <c r="L186">
        <v>68736.904810964072</v>
      </c>
      <c r="M186">
        <v>52972.178374291107</v>
      </c>
      <c r="N186">
        <v>10.435</v>
      </c>
      <c r="O186">
        <v>6.744E-2</v>
      </c>
      <c r="P186">
        <v>2.677</v>
      </c>
      <c r="Q186">
        <v>111.31</v>
      </c>
      <c r="R186">
        <v>16.38</v>
      </c>
      <c r="S186">
        <v>73.22</v>
      </c>
    </row>
    <row r="187" spans="1:19" x14ac:dyDescent="0.3">
      <c r="A187" s="2">
        <v>44182</v>
      </c>
      <c r="B187">
        <v>44.95</v>
      </c>
      <c r="C187">
        <v>59.94</v>
      </c>
      <c r="D187">
        <v>74.55</v>
      </c>
      <c r="E187">
        <v>84.49</v>
      </c>
      <c r="F187">
        <v>69.44</v>
      </c>
      <c r="G187">
        <v>48.36</v>
      </c>
      <c r="H187">
        <v>51.5</v>
      </c>
      <c r="I187">
        <v>50.08</v>
      </c>
      <c r="J187">
        <v>43.48</v>
      </c>
      <c r="K187">
        <v>14.62</v>
      </c>
      <c r="L187">
        <v>60544.3</v>
      </c>
      <c r="M187">
        <v>55934.21</v>
      </c>
      <c r="N187">
        <v>10.115</v>
      </c>
      <c r="O187">
        <v>6.8250000000000005E-2</v>
      </c>
      <c r="P187">
        <v>2.6360000000000001</v>
      </c>
      <c r="Q187">
        <v>112.79</v>
      </c>
      <c r="R187">
        <v>15.94</v>
      </c>
      <c r="S187">
        <v>73.099999999999994</v>
      </c>
    </row>
    <row r="188" spans="1:19" x14ac:dyDescent="0.3">
      <c r="A188" s="2">
        <v>44183</v>
      </c>
      <c r="B188">
        <v>50.37</v>
      </c>
      <c r="C188">
        <v>66.25</v>
      </c>
      <c r="D188">
        <v>82.07</v>
      </c>
      <c r="E188">
        <v>97.92</v>
      </c>
      <c r="F188">
        <v>74.89</v>
      </c>
      <c r="G188">
        <v>49.1</v>
      </c>
      <c r="H188">
        <v>52.26</v>
      </c>
      <c r="I188">
        <v>50.34</v>
      </c>
      <c r="J188">
        <v>42.73</v>
      </c>
      <c r="K188">
        <v>15.08</v>
      </c>
      <c r="L188">
        <v>59788.12</v>
      </c>
      <c r="M188">
        <v>54999.08</v>
      </c>
      <c r="N188">
        <v>9.66</v>
      </c>
      <c r="O188">
        <v>6.8769999999999998E-2</v>
      </c>
      <c r="P188">
        <v>2.7</v>
      </c>
      <c r="Q188">
        <v>112.83</v>
      </c>
      <c r="R188">
        <v>15.885</v>
      </c>
      <c r="S188">
        <v>72.47</v>
      </c>
    </row>
    <row r="189" spans="1:19" x14ac:dyDescent="0.3">
      <c r="A189" s="2">
        <v>44186</v>
      </c>
      <c r="B189">
        <v>50.37</v>
      </c>
      <c r="C189">
        <v>66.25</v>
      </c>
      <c r="D189">
        <v>82.07</v>
      </c>
      <c r="E189">
        <v>97.92</v>
      </c>
      <c r="F189">
        <v>74.89</v>
      </c>
      <c r="G189">
        <v>47.74</v>
      </c>
      <c r="H189">
        <v>50.91</v>
      </c>
      <c r="I189">
        <v>49.86</v>
      </c>
      <c r="J189">
        <v>41.95</v>
      </c>
      <c r="K189">
        <v>15.16</v>
      </c>
      <c r="L189">
        <v>58714.87</v>
      </c>
      <c r="M189">
        <v>54190.02</v>
      </c>
      <c r="N189">
        <v>10.050000000000001</v>
      </c>
      <c r="O189">
        <v>6.8440000000000001E-2</v>
      </c>
      <c r="P189">
        <v>2.7050000000000001</v>
      </c>
      <c r="Q189">
        <v>112.54</v>
      </c>
      <c r="R189">
        <v>16.795000000000002</v>
      </c>
      <c r="S189">
        <v>68.58</v>
      </c>
    </row>
    <row r="190" spans="1:19" x14ac:dyDescent="0.3">
      <c r="A190" s="2">
        <v>44187</v>
      </c>
      <c r="B190">
        <v>50.37</v>
      </c>
      <c r="C190">
        <v>66.25</v>
      </c>
      <c r="D190">
        <v>82.07</v>
      </c>
      <c r="E190">
        <v>97.92</v>
      </c>
      <c r="F190">
        <v>74.89</v>
      </c>
      <c r="G190">
        <v>47.02</v>
      </c>
      <c r="H190">
        <v>50.08</v>
      </c>
      <c r="I190">
        <v>49.57</v>
      </c>
      <c r="J190">
        <v>41.24</v>
      </c>
      <c r="K190">
        <v>14.74</v>
      </c>
      <c r="L190">
        <v>58619.75</v>
      </c>
      <c r="M190">
        <v>53834.13</v>
      </c>
      <c r="N190">
        <v>10.755000000000001</v>
      </c>
      <c r="O190">
        <v>6.8220000000000003E-2</v>
      </c>
      <c r="P190">
        <v>2.78</v>
      </c>
      <c r="Q190">
        <v>113.16</v>
      </c>
      <c r="R190">
        <v>17.635000000000002</v>
      </c>
      <c r="S190">
        <v>71.069999999999993</v>
      </c>
    </row>
    <row r="191" spans="1:19" x14ac:dyDescent="0.3">
      <c r="A191" s="2">
        <v>44188</v>
      </c>
      <c r="B191">
        <v>50.37</v>
      </c>
      <c r="C191">
        <v>66.25</v>
      </c>
      <c r="D191">
        <v>82.07</v>
      </c>
      <c r="E191">
        <v>97.92</v>
      </c>
      <c r="F191">
        <v>74.89</v>
      </c>
      <c r="G191">
        <v>48.12</v>
      </c>
      <c r="H191">
        <v>51.2</v>
      </c>
      <c r="I191">
        <v>49.81</v>
      </c>
      <c r="J191">
        <v>41.77</v>
      </c>
      <c r="K191">
        <v>14.84</v>
      </c>
      <c r="L191">
        <v>58986.720000000001</v>
      </c>
      <c r="M191">
        <v>54153.1</v>
      </c>
      <c r="N191">
        <v>10.525</v>
      </c>
      <c r="O191">
        <v>6.8419999999999995E-2</v>
      </c>
      <c r="P191">
        <v>2.6080000000000001</v>
      </c>
      <c r="Q191">
        <v>112.18</v>
      </c>
      <c r="R191">
        <v>17.504999999999999</v>
      </c>
      <c r="S191">
        <v>71.349999999999994</v>
      </c>
    </row>
    <row r="192" spans="1:19" x14ac:dyDescent="0.3">
      <c r="A192" s="2">
        <v>44189</v>
      </c>
      <c r="B192">
        <v>48.79</v>
      </c>
      <c r="C192">
        <v>65.58</v>
      </c>
      <c r="D192">
        <v>81.31</v>
      </c>
      <c r="E192">
        <v>97.4</v>
      </c>
      <c r="F192">
        <v>75.83</v>
      </c>
      <c r="G192">
        <v>48.23</v>
      </c>
      <c r="H192">
        <v>51.29</v>
      </c>
      <c r="I192">
        <v>49.84</v>
      </c>
      <c r="J192">
        <v>41.6</v>
      </c>
      <c r="K192">
        <v>14.8</v>
      </c>
      <c r="L192">
        <v>59175.8</v>
      </c>
      <c r="M192">
        <v>54811.67</v>
      </c>
      <c r="N192">
        <v>11</v>
      </c>
      <c r="O192">
        <v>6.8419999999999995E-2</v>
      </c>
      <c r="P192">
        <v>2.5179999999999998</v>
      </c>
      <c r="Q192">
        <v>112.69</v>
      </c>
      <c r="R192">
        <v>17.649999999999999</v>
      </c>
      <c r="S192">
        <v>71.03</v>
      </c>
    </row>
    <row r="193" spans="1:19" x14ac:dyDescent="0.3">
      <c r="A193" s="2">
        <v>44190</v>
      </c>
      <c r="B193">
        <v>87.953183520599239</v>
      </c>
      <c r="C193">
        <v>113.3531554307116</v>
      </c>
      <c r="D193">
        <v>134.97180711610491</v>
      </c>
      <c r="E193">
        <v>144.35149446494461</v>
      </c>
      <c r="F193">
        <v>123.75970973782771</v>
      </c>
      <c r="G193">
        <v>72.345468607825296</v>
      </c>
      <c r="H193">
        <v>76.283020072992699</v>
      </c>
      <c r="I193">
        <v>74.752492970946577</v>
      </c>
      <c r="J193">
        <v>80.871012183692585</v>
      </c>
      <c r="K193">
        <v>21.274702495201531</v>
      </c>
      <c r="L193">
        <v>68736.904810964072</v>
      </c>
      <c r="M193">
        <v>52972.178374291107</v>
      </c>
      <c r="N193">
        <v>17.62252908067542</v>
      </c>
      <c r="O193">
        <v>6.8580000000000002E-2</v>
      </c>
      <c r="P193">
        <v>3.697999090081892</v>
      </c>
      <c r="Q193">
        <v>112.7561105904405</v>
      </c>
      <c r="R193">
        <v>57.384855947955387</v>
      </c>
      <c r="S193">
        <v>141.61602674307539</v>
      </c>
    </row>
    <row r="194" spans="1:19" x14ac:dyDescent="0.3">
      <c r="A194" s="2">
        <v>44193</v>
      </c>
      <c r="B194">
        <v>87.953183520599239</v>
      </c>
      <c r="C194">
        <v>113.3531554307116</v>
      </c>
      <c r="D194">
        <v>134.97180711610491</v>
      </c>
      <c r="E194">
        <v>97.4</v>
      </c>
      <c r="F194">
        <v>123.75970973782771</v>
      </c>
      <c r="G194">
        <v>47.62</v>
      </c>
      <c r="H194">
        <v>50.86</v>
      </c>
      <c r="I194">
        <v>49.77</v>
      </c>
      <c r="J194">
        <v>41.74</v>
      </c>
      <c r="K194">
        <v>14.84</v>
      </c>
      <c r="L194">
        <v>59006.07</v>
      </c>
      <c r="M194">
        <v>55379.91</v>
      </c>
      <c r="N194">
        <v>11.085000000000001</v>
      </c>
      <c r="O194">
        <v>6.8220000000000003E-2</v>
      </c>
      <c r="P194">
        <v>2.3050000000000002</v>
      </c>
      <c r="Q194">
        <v>113.59</v>
      </c>
      <c r="R194">
        <v>19.149999999999999</v>
      </c>
      <c r="S194">
        <v>71.599999999999994</v>
      </c>
    </row>
    <row r="195" spans="1:19" x14ac:dyDescent="0.3">
      <c r="A195" s="2">
        <v>44194</v>
      </c>
      <c r="B195">
        <v>48.79</v>
      </c>
      <c r="C195">
        <v>65.58</v>
      </c>
      <c r="D195">
        <v>81.31</v>
      </c>
      <c r="E195">
        <v>97.4</v>
      </c>
      <c r="F195">
        <v>75.83</v>
      </c>
      <c r="G195">
        <v>48</v>
      </c>
      <c r="H195">
        <v>51.09</v>
      </c>
      <c r="I195">
        <v>49.78</v>
      </c>
      <c r="J195">
        <v>41.27</v>
      </c>
      <c r="K195">
        <v>14.76</v>
      </c>
      <c r="L195">
        <v>59246.400000000001</v>
      </c>
      <c r="M195">
        <v>55158.8</v>
      </c>
      <c r="N195">
        <v>12.1</v>
      </c>
      <c r="O195">
        <v>6.7890000000000006E-2</v>
      </c>
      <c r="P195">
        <v>2.4670000000000001</v>
      </c>
      <c r="Q195">
        <v>112.9</v>
      </c>
      <c r="R195">
        <v>18.774999999999999</v>
      </c>
      <c r="S195">
        <v>72.52</v>
      </c>
    </row>
    <row r="196" spans="1:19" x14ac:dyDescent="0.3">
      <c r="A196" s="2">
        <v>44195</v>
      </c>
      <c r="B196">
        <v>48.79</v>
      </c>
      <c r="C196">
        <v>65.58</v>
      </c>
      <c r="D196">
        <v>81.31</v>
      </c>
      <c r="E196">
        <v>97.4</v>
      </c>
      <c r="F196">
        <v>75.83</v>
      </c>
      <c r="G196">
        <v>48.4</v>
      </c>
      <c r="H196">
        <v>51.34</v>
      </c>
      <c r="I196">
        <v>49.82</v>
      </c>
      <c r="J196">
        <v>41.6</v>
      </c>
      <c r="K196">
        <v>14.64</v>
      </c>
      <c r="L196">
        <v>59634.93</v>
      </c>
      <c r="M196">
        <v>55390.55</v>
      </c>
      <c r="N196">
        <v>12.795</v>
      </c>
      <c r="O196">
        <v>6.8419999999999995E-2</v>
      </c>
      <c r="P196">
        <v>2.4220000000000002</v>
      </c>
      <c r="Q196">
        <v>113.15</v>
      </c>
      <c r="R196">
        <v>19</v>
      </c>
      <c r="S196">
        <v>74.3</v>
      </c>
    </row>
    <row r="197" spans="1:19" x14ac:dyDescent="0.3">
      <c r="A197" s="2">
        <v>44196</v>
      </c>
      <c r="B197">
        <v>47.03</v>
      </c>
      <c r="C197">
        <v>62.38</v>
      </c>
      <c r="D197">
        <v>76.92</v>
      </c>
      <c r="E197">
        <v>91.34</v>
      </c>
      <c r="F197">
        <v>73.430000000000007</v>
      </c>
      <c r="G197">
        <v>48.52</v>
      </c>
      <c r="H197">
        <v>51.8</v>
      </c>
      <c r="I197">
        <v>49.81</v>
      </c>
      <c r="J197">
        <v>41.22</v>
      </c>
      <c r="K197">
        <v>14.6</v>
      </c>
      <c r="L197">
        <v>59408.68</v>
      </c>
      <c r="M197">
        <v>55214.46</v>
      </c>
      <c r="N197">
        <v>14.3</v>
      </c>
      <c r="O197">
        <v>6.8010000000000001E-2</v>
      </c>
      <c r="P197">
        <v>2.5390000000000001</v>
      </c>
      <c r="Q197">
        <v>115.29</v>
      </c>
      <c r="R197">
        <v>19.125</v>
      </c>
      <c r="S197">
        <v>75.97</v>
      </c>
    </row>
    <row r="198" spans="1:19" x14ac:dyDescent="0.3">
      <c r="A198" s="2">
        <v>44197</v>
      </c>
      <c r="B198">
        <v>87.953183520599239</v>
      </c>
      <c r="C198">
        <v>113.3531554307116</v>
      </c>
      <c r="D198">
        <v>134.97180711610491</v>
      </c>
      <c r="E198">
        <v>144.35149446494461</v>
      </c>
      <c r="F198">
        <v>123.75970973782771</v>
      </c>
      <c r="G198">
        <v>72.345468607825296</v>
      </c>
      <c r="H198">
        <v>76.283020072992699</v>
      </c>
      <c r="I198">
        <v>74.752492970946577</v>
      </c>
      <c r="J198">
        <v>80.871012183692585</v>
      </c>
      <c r="K198">
        <v>21.274702495201531</v>
      </c>
      <c r="L198">
        <v>68736.904810964072</v>
      </c>
      <c r="M198">
        <v>52972.178374291107</v>
      </c>
      <c r="N198">
        <v>17.62252908067542</v>
      </c>
      <c r="O198">
        <v>6.8169999999999994E-2</v>
      </c>
      <c r="P198">
        <v>3.697999090081892</v>
      </c>
      <c r="Q198">
        <v>112.7561105904405</v>
      </c>
      <c r="R198">
        <v>57.384855947955387</v>
      </c>
      <c r="S198">
        <v>73.400000000000006</v>
      </c>
    </row>
    <row r="199" spans="1:19" x14ac:dyDescent="0.3">
      <c r="A199" s="2">
        <v>44200</v>
      </c>
      <c r="B199">
        <v>47.03</v>
      </c>
      <c r="C199">
        <v>62.38</v>
      </c>
      <c r="D199">
        <v>76.92</v>
      </c>
      <c r="E199">
        <v>91.34</v>
      </c>
      <c r="F199">
        <v>73.430000000000007</v>
      </c>
      <c r="G199">
        <v>47.62</v>
      </c>
      <c r="H199">
        <v>51.09</v>
      </c>
      <c r="I199">
        <v>50.61</v>
      </c>
      <c r="J199">
        <v>41.5</v>
      </c>
      <c r="K199">
        <v>14.58</v>
      </c>
      <c r="L199">
        <v>60479.42</v>
      </c>
      <c r="M199">
        <v>58288.65</v>
      </c>
      <c r="N199">
        <v>14.93</v>
      </c>
      <c r="O199">
        <v>6.7890000000000006E-2</v>
      </c>
      <c r="P199">
        <v>2.581</v>
      </c>
      <c r="Q199">
        <v>113.3</v>
      </c>
      <c r="R199">
        <v>19.844999999999999</v>
      </c>
      <c r="S199">
        <v>76.3</v>
      </c>
    </row>
    <row r="200" spans="1:19" x14ac:dyDescent="0.3">
      <c r="A200" s="2">
        <v>44201</v>
      </c>
      <c r="B200">
        <v>47.03</v>
      </c>
      <c r="C200">
        <v>62.38</v>
      </c>
      <c r="D200">
        <v>76.92</v>
      </c>
      <c r="E200">
        <v>91.34</v>
      </c>
      <c r="F200">
        <v>73.430000000000007</v>
      </c>
      <c r="G200">
        <v>49.93</v>
      </c>
      <c r="H200">
        <v>53.6</v>
      </c>
      <c r="I200">
        <v>52.84</v>
      </c>
      <c r="J200">
        <v>43.5</v>
      </c>
      <c r="K200">
        <v>14.6</v>
      </c>
      <c r="L200">
        <v>60921.37</v>
      </c>
      <c r="M200">
        <v>58925.599999999999</v>
      </c>
      <c r="N200">
        <v>15.105</v>
      </c>
      <c r="O200">
        <v>6.6699999999999995E-2</v>
      </c>
      <c r="P200">
        <v>2.702</v>
      </c>
      <c r="Q200">
        <v>113.54</v>
      </c>
      <c r="R200">
        <v>18.004999999999999</v>
      </c>
      <c r="S200">
        <v>73.400000000000006</v>
      </c>
    </row>
    <row r="201" spans="1:19" x14ac:dyDescent="0.3">
      <c r="A201" s="2">
        <v>44202</v>
      </c>
      <c r="B201">
        <v>47.03</v>
      </c>
      <c r="C201">
        <v>62.38</v>
      </c>
      <c r="D201">
        <v>76.92</v>
      </c>
      <c r="E201">
        <v>91.34</v>
      </c>
      <c r="F201">
        <v>73.430000000000007</v>
      </c>
      <c r="G201">
        <v>50.63</v>
      </c>
      <c r="H201">
        <v>54.3</v>
      </c>
      <c r="I201">
        <v>53.63</v>
      </c>
      <c r="J201">
        <v>44.61</v>
      </c>
      <c r="K201">
        <v>14.8</v>
      </c>
      <c r="L201">
        <v>61857.42</v>
      </c>
      <c r="M201">
        <v>61135.72</v>
      </c>
      <c r="N201">
        <v>15.55</v>
      </c>
      <c r="O201">
        <v>6.6369999999999998E-2</v>
      </c>
      <c r="P201">
        <v>2.7160000000000002</v>
      </c>
      <c r="Q201">
        <v>115.74</v>
      </c>
      <c r="R201">
        <v>17.565000000000001</v>
      </c>
      <c r="S201">
        <v>74</v>
      </c>
    </row>
    <row r="202" spans="1:19" x14ac:dyDescent="0.3">
      <c r="A202" s="2">
        <v>44203</v>
      </c>
      <c r="B202">
        <v>47.03</v>
      </c>
      <c r="C202">
        <v>62.38</v>
      </c>
      <c r="D202">
        <v>76.92</v>
      </c>
      <c r="E202">
        <v>91.34</v>
      </c>
      <c r="F202">
        <v>73.430000000000007</v>
      </c>
      <c r="G202">
        <v>50.83</v>
      </c>
      <c r="H202">
        <v>54.38</v>
      </c>
      <c r="I202">
        <v>53.78</v>
      </c>
      <c r="J202">
        <v>44.96</v>
      </c>
      <c r="K202">
        <v>14.88</v>
      </c>
      <c r="L202">
        <v>63042.879999999997</v>
      </c>
      <c r="M202">
        <v>62818.13</v>
      </c>
      <c r="N202">
        <v>17.25</v>
      </c>
      <c r="O202">
        <v>6.4710000000000004E-2</v>
      </c>
      <c r="P202">
        <v>2.7290000000000001</v>
      </c>
      <c r="Q202">
        <v>115.81</v>
      </c>
      <c r="R202">
        <v>19.305</v>
      </c>
      <c r="S202">
        <v>74.069999999999993</v>
      </c>
    </row>
    <row r="203" spans="1:19" x14ac:dyDescent="0.3">
      <c r="A203" s="2">
        <v>44204</v>
      </c>
      <c r="B203">
        <v>46.09</v>
      </c>
      <c r="C203">
        <v>62.53</v>
      </c>
      <c r="D203">
        <v>76.28</v>
      </c>
      <c r="E203">
        <v>87.88</v>
      </c>
      <c r="F203">
        <v>69.63</v>
      </c>
      <c r="G203">
        <v>52.24</v>
      </c>
      <c r="H203">
        <v>55.99</v>
      </c>
      <c r="I203">
        <v>55.06</v>
      </c>
      <c r="J203">
        <v>45.46</v>
      </c>
      <c r="K203">
        <v>14.96</v>
      </c>
      <c r="L203">
        <v>63519.18</v>
      </c>
      <c r="M203">
        <v>62340.7</v>
      </c>
      <c r="N203">
        <v>17.25</v>
      </c>
      <c r="O203">
        <v>6.5320000000000003E-2</v>
      </c>
      <c r="P203">
        <v>2.7</v>
      </c>
      <c r="Q203">
        <v>117.63</v>
      </c>
      <c r="R203">
        <v>20.12</v>
      </c>
      <c r="S203">
        <v>74.400000000000006</v>
      </c>
    </row>
    <row r="204" spans="1:19" x14ac:dyDescent="0.3">
      <c r="A204" s="2">
        <v>44207</v>
      </c>
      <c r="B204">
        <v>46.09</v>
      </c>
      <c r="C204">
        <v>62.53</v>
      </c>
      <c r="D204">
        <v>76.28</v>
      </c>
      <c r="E204">
        <v>87.88</v>
      </c>
      <c r="F204">
        <v>69.63</v>
      </c>
      <c r="G204">
        <v>52.25</v>
      </c>
      <c r="H204">
        <v>55.66</v>
      </c>
      <c r="I204">
        <v>54.78</v>
      </c>
      <c r="J204">
        <v>46.84</v>
      </c>
      <c r="K204">
        <v>14.86</v>
      </c>
      <c r="L204">
        <v>63759.93</v>
      </c>
      <c r="M204">
        <v>62194.37</v>
      </c>
      <c r="N204">
        <v>19.7</v>
      </c>
      <c r="O204">
        <v>6.4280000000000004E-2</v>
      </c>
      <c r="P204">
        <v>2.7469999999999999</v>
      </c>
      <c r="Q204">
        <v>117.65</v>
      </c>
      <c r="R204">
        <v>22.125</v>
      </c>
      <c r="S204">
        <v>75.08</v>
      </c>
    </row>
    <row r="205" spans="1:19" x14ac:dyDescent="0.3">
      <c r="A205" s="2">
        <v>44208</v>
      </c>
      <c r="B205">
        <v>46.09</v>
      </c>
      <c r="C205">
        <v>62.53</v>
      </c>
      <c r="D205">
        <v>76.28</v>
      </c>
      <c r="E205">
        <v>87.88</v>
      </c>
      <c r="F205">
        <v>69.63</v>
      </c>
      <c r="G205">
        <v>53.21</v>
      </c>
      <c r="H205">
        <v>56.58</v>
      </c>
      <c r="I205">
        <v>55.37</v>
      </c>
      <c r="J205">
        <v>47.88</v>
      </c>
      <c r="K205">
        <v>14.9</v>
      </c>
      <c r="L205">
        <v>63535.1</v>
      </c>
      <c r="M205">
        <v>61563.21</v>
      </c>
      <c r="N205">
        <v>19.7</v>
      </c>
      <c r="O205">
        <v>6.5600000000000006E-2</v>
      </c>
      <c r="P205">
        <v>2.7530000000000001</v>
      </c>
      <c r="Q205">
        <v>117.86</v>
      </c>
      <c r="R205">
        <v>26.155000000000001</v>
      </c>
      <c r="S205">
        <v>75.25</v>
      </c>
    </row>
    <row r="206" spans="1:19" x14ac:dyDescent="0.3">
      <c r="A206" s="2">
        <v>44209</v>
      </c>
      <c r="B206">
        <v>46.09</v>
      </c>
      <c r="C206">
        <v>62.53</v>
      </c>
      <c r="D206">
        <v>76.28</v>
      </c>
      <c r="E206">
        <v>87.88</v>
      </c>
      <c r="F206">
        <v>69.63</v>
      </c>
      <c r="G206">
        <v>52.91</v>
      </c>
      <c r="H206">
        <v>56.06</v>
      </c>
      <c r="I206">
        <v>54.96</v>
      </c>
      <c r="J206">
        <v>48.42</v>
      </c>
      <c r="K206">
        <v>15.74</v>
      </c>
      <c r="L206">
        <v>63474.53</v>
      </c>
      <c r="M206">
        <v>61874.58</v>
      </c>
      <c r="N206">
        <v>18.57</v>
      </c>
      <c r="O206">
        <v>6.5519999999999995E-2</v>
      </c>
      <c r="P206">
        <v>2.7269999999999999</v>
      </c>
      <c r="Q206">
        <v>117.84</v>
      </c>
      <c r="R206">
        <v>21.5</v>
      </c>
      <c r="S206">
        <v>74.45</v>
      </c>
    </row>
    <row r="207" spans="1:19" x14ac:dyDescent="0.3">
      <c r="A207" s="2">
        <v>44210</v>
      </c>
      <c r="B207">
        <v>46.09</v>
      </c>
      <c r="C207">
        <v>62.53</v>
      </c>
      <c r="D207">
        <v>76.28</v>
      </c>
      <c r="E207">
        <v>87.88</v>
      </c>
      <c r="F207">
        <v>69.63</v>
      </c>
      <c r="G207">
        <v>53.57</v>
      </c>
      <c r="H207">
        <v>56.42</v>
      </c>
      <c r="I207">
        <v>55.17</v>
      </c>
      <c r="J207">
        <v>50.31</v>
      </c>
      <c r="K207">
        <v>15.86</v>
      </c>
      <c r="L207">
        <v>63884.77</v>
      </c>
      <c r="M207">
        <v>61926.74</v>
      </c>
      <c r="N207">
        <v>18.57</v>
      </c>
      <c r="O207">
        <v>6.6290000000000002E-2</v>
      </c>
      <c r="P207">
        <v>2.6659999999999999</v>
      </c>
      <c r="Q207">
        <v>115.62</v>
      </c>
      <c r="R207">
        <v>21.335000000000001</v>
      </c>
      <c r="S207">
        <v>76.680000000000007</v>
      </c>
    </row>
    <row r="208" spans="1:19" x14ac:dyDescent="0.3">
      <c r="A208" s="2">
        <v>44211</v>
      </c>
      <c r="B208">
        <v>49.78</v>
      </c>
      <c r="C208">
        <v>67.84</v>
      </c>
      <c r="D208">
        <v>81.81</v>
      </c>
      <c r="E208">
        <v>95.54</v>
      </c>
      <c r="F208">
        <v>72.55</v>
      </c>
      <c r="G208">
        <v>52.36</v>
      </c>
      <c r="H208">
        <v>55.1</v>
      </c>
      <c r="I208">
        <v>54.53</v>
      </c>
      <c r="J208">
        <v>47.89</v>
      </c>
      <c r="K208">
        <v>15.74</v>
      </c>
      <c r="L208">
        <v>63549.75</v>
      </c>
      <c r="M208">
        <v>61008.37</v>
      </c>
      <c r="N208">
        <v>18.309000000000001</v>
      </c>
      <c r="O208">
        <v>6.5610000000000002E-2</v>
      </c>
      <c r="P208">
        <v>2.7370000000000001</v>
      </c>
      <c r="Q208">
        <v>115.19</v>
      </c>
      <c r="R208">
        <v>20.2</v>
      </c>
      <c r="S208">
        <v>78.22</v>
      </c>
    </row>
    <row r="209" spans="1:19" x14ac:dyDescent="0.3">
      <c r="A209" s="2">
        <v>44214</v>
      </c>
      <c r="B209">
        <v>49.78</v>
      </c>
      <c r="C209">
        <v>67.84</v>
      </c>
      <c r="D209">
        <v>81.81</v>
      </c>
      <c r="E209">
        <v>95.54</v>
      </c>
      <c r="F209">
        <v>72.55</v>
      </c>
      <c r="G209">
        <v>52.36</v>
      </c>
      <c r="H209">
        <v>54.75</v>
      </c>
      <c r="I209">
        <v>74.752492970946577</v>
      </c>
      <c r="J209">
        <v>80.871012183692585</v>
      </c>
      <c r="K209">
        <v>15.98</v>
      </c>
      <c r="L209">
        <v>63713.87</v>
      </c>
      <c r="M209">
        <v>60453.94</v>
      </c>
      <c r="N209">
        <v>17.62252908067542</v>
      </c>
      <c r="O209">
        <v>6.5939999999999999E-2</v>
      </c>
      <c r="P209">
        <v>2.637</v>
      </c>
      <c r="Q209">
        <v>112.7561105904405</v>
      </c>
      <c r="R209">
        <v>57.384855947955387</v>
      </c>
      <c r="S209">
        <v>80.03</v>
      </c>
    </row>
    <row r="210" spans="1:19" x14ac:dyDescent="0.3">
      <c r="A210" s="2">
        <v>44215</v>
      </c>
      <c r="B210">
        <v>49.78</v>
      </c>
      <c r="C210">
        <v>67.84</v>
      </c>
      <c r="D210">
        <v>81.81</v>
      </c>
      <c r="E210">
        <v>95.54</v>
      </c>
      <c r="F210">
        <v>72.55</v>
      </c>
      <c r="G210">
        <v>52.98</v>
      </c>
      <c r="H210">
        <v>55.9</v>
      </c>
      <c r="I210">
        <v>54.89</v>
      </c>
      <c r="J210">
        <v>48.84</v>
      </c>
      <c r="K210">
        <v>15.98</v>
      </c>
      <c r="L210">
        <v>63603.26</v>
      </c>
      <c r="M210">
        <v>59452.01</v>
      </c>
      <c r="N210">
        <v>8.52</v>
      </c>
      <c r="O210">
        <v>6.6710000000000005E-2</v>
      </c>
      <c r="P210">
        <v>2.5459999999999998</v>
      </c>
      <c r="Q210">
        <v>114.88</v>
      </c>
      <c r="R210">
        <v>20.324999999999999</v>
      </c>
      <c r="S210">
        <v>81.08</v>
      </c>
    </row>
    <row r="211" spans="1:19" x14ac:dyDescent="0.3">
      <c r="A211" s="2">
        <v>44216</v>
      </c>
      <c r="B211">
        <v>49.78</v>
      </c>
      <c r="C211">
        <v>67.84</v>
      </c>
      <c r="D211">
        <v>81.81</v>
      </c>
      <c r="E211">
        <v>95.54</v>
      </c>
      <c r="F211">
        <v>72.55</v>
      </c>
      <c r="G211">
        <v>53.24</v>
      </c>
      <c r="H211">
        <v>56.08</v>
      </c>
      <c r="I211">
        <v>54.97</v>
      </c>
      <c r="J211">
        <v>49.53</v>
      </c>
      <c r="K211">
        <v>15.7</v>
      </c>
      <c r="L211">
        <v>64108.51</v>
      </c>
      <c r="M211">
        <v>60312.19</v>
      </c>
      <c r="N211">
        <v>9.0150000000000006</v>
      </c>
      <c r="O211">
        <v>6.7070000000000005E-2</v>
      </c>
      <c r="P211">
        <v>2.5390000000000001</v>
      </c>
      <c r="Q211">
        <v>114.69</v>
      </c>
      <c r="R211">
        <v>20.260000000000002</v>
      </c>
      <c r="S211">
        <v>81.849999999999994</v>
      </c>
    </row>
    <row r="212" spans="1:19" x14ac:dyDescent="0.3">
      <c r="A212" s="2">
        <v>44217</v>
      </c>
      <c r="B212">
        <v>49.78</v>
      </c>
      <c r="C212">
        <v>67.84</v>
      </c>
      <c r="D212">
        <v>81.81</v>
      </c>
      <c r="E212">
        <v>95.54</v>
      </c>
      <c r="F212">
        <v>72.55</v>
      </c>
      <c r="G212">
        <v>53.13</v>
      </c>
      <c r="H212">
        <v>56.1</v>
      </c>
      <c r="I212">
        <v>54.95</v>
      </c>
      <c r="J212">
        <v>48.11</v>
      </c>
      <c r="K212">
        <v>15.86</v>
      </c>
      <c r="L212">
        <v>64174.879999999997</v>
      </c>
      <c r="M212">
        <v>60878.5</v>
      </c>
      <c r="N212">
        <v>8.4849999999999994</v>
      </c>
      <c r="O212">
        <v>6.6890000000000005E-2</v>
      </c>
      <c r="P212">
        <v>2.4910000000000001</v>
      </c>
      <c r="Q212">
        <v>112.92</v>
      </c>
      <c r="R212">
        <v>20.065000000000001</v>
      </c>
      <c r="S212">
        <v>80.2</v>
      </c>
    </row>
    <row r="213" spans="1:19" x14ac:dyDescent="0.3">
      <c r="A213" s="2">
        <v>44218</v>
      </c>
      <c r="B213">
        <v>45.25</v>
      </c>
      <c r="C213">
        <v>62.04</v>
      </c>
      <c r="D213">
        <v>76.72</v>
      </c>
      <c r="E213">
        <v>89.97</v>
      </c>
      <c r="F213">
        <v>72.959999999999994</v>
      </c>
      <c r="G213">
        <v>52.27</v>
      </c>
      <c r="H213">
        <v>55.41</v>
      </c>
      <c r="I213">
        <v>54.76</v>
      </c>
      <c r="J213">
        <v>47.43</v>
      </c>
      <c r="K213">
        <v>15.36</v>
      </c>
      <c r="L213">
        <v>63987.92</v>
      </c>
      <c r="M213">
        <v>60052.95</v>
      </c>
      <c r="N213">
        <v>8.8550000000000004</v>
      </c>
      <c r="O213">
        <v>6.6119999999999998E-2</v>
      </c>
      <c r="P213">
        <v>2.4460000000000002</v>
      </c>
      <c r="Q213">
        <v>111.92</v>
      </c>
      <c r="R213">
        <v>21.484999999999999</v>
      </c>
      <c r="S213">
        <v>77.650000000000006</v>
      </c>
    </row>
    <row r="214" spans="1:19" x14ac:dyDescent="0.3">
      <c r="A214" s="2">
        <v>44221</v>
      </c>
      <c r="B214">
        <v>45.25</v>
      </c>
      <c r="C214">
        <v>62.04</v>
      </c>
      <c r="D214">
        <v>76.72</v>
      </c>
      <c r="E214">
        <v>89.97</v>
      </c>
      <c r="F214">
        <v>72.959999999999994</v>
      </c>
      <c r="G214">
        <v>52.77</v>
      </c>
      <c r="H214">
        <v>55.88</v>
      </c>
      <c r="I214">
        <v>54.87</v>
      </c>
      <c r="J214">
        <v>46.9</v>
      </c>
      <c r="K214">
        <v>15.12</v>
      </c>
      <c r="L214">
        <v>64559.85</v>
      </c>
      <c r="M214">
        <v>59631.63</v>
      </c>
      <c r="N214">
        <v>8.61</v>
      </c>
      <c r="O214">
        <v>6.5579999999999999E-2</v>
      </c>
      <c r="P214">
        <v>2.6019999999999999</v>
      </c>
      <c r="Q214">
        <v>112.46</v>
      </c>
      <c r="R214">
        <v>20.16</v>
      </c>
      <c r="S214">
        <v>77.349999999999994</v>
      </c>
    </row>
    <row r="215" spans="1:19" x14ac:dyDescent="0.3">
      <c r="A215" s="2">
        <v>44222</v>
      </c>
      <c r="B215">
        <v>45.25</v>
      </c>
      <c r="C215">
        <v>62.04</v>
      </c>
      <c r="D215">
        <v>76.72</v>
      </c>
      <c r="E215">
        <v>89.97</v>
      </c>
      <c r="F215">
        <v>72.959999999999994</v>
      </c>
      <c r="G215">
        <v>52.61</v>
      </c>
      <c r="H215">
        <v>55.91</v>
      </c>
      <c r="I215">
        <v>54.82</v>
      </c>
      <c r="J215">
        <v>45.87</v>
      </c>
      <c r="K215">
        <v>14.84</v>
      </c>
      <c r="L215">
        <v>63923.63</v>
      </c>
      <c r="M215">
        <v>59343.29</v>
      </c>
      <c r="N215">
        <v>8.56</v>
      </c>
      <c r="O215">
        <v>6.6320000000000004E-2</v>
      </c>
      <c r="P215">
        <v>2.6560000000000001</v>
      </c>
      <c r="Q215">
        <v>112.65</v>
      </c>
      <c r="R215">
        <v>19.510000000000002</v>
      </c>
      <c r="S215">
        <v>141.61602674307539</v>
      </c>
    </row>
    <row r="216" spans="1:19" x14ac:dyDescent="0.3">
      <c r="A216" s="2">
        <v>44223</v>
      </c>
      <c r="B216">
        <v>45.25</v>
      </c>
      <c r="C216">
        <v>62.04</v>
      </c>
      <c r="D216">
        <v>76.72</v>
      </c>
      <c r="E216">
        <v>89.97</v>
      </c>
      <c r="F216">
        <v>72.959999999999994</v>
      </c>
      <c r="G216">
        <v>52.85</v>
      </c>
      <c r="H216">
        <v>55.81</v>
      </c>
      <c r="I216">
        <v>54.81</v>
      </c>
      <c r="J216">
        <v>45.35</v>
      </c>
      <c r="K216">
        <v>14.84</v>
      </c>
      <c r="L216">
        <v>62784.52</v>
      </c>
      <c r="M216">
        <v>57031.17</v>
      </c>
      <c r="N216">
        <v>8.6150000000000002</v>
      </c>
      <c r="O216">
        <v>6.5439999999999998E-2</v>
      </c>
      <c r="P216">
        <v>2.76</v>
      </c>
      <c r="Q216">
        <v>109.35</v>
      </c>
      <c r="R216">
        <v>19.7</v>
      </c>
      <c r="S216">
        <v>80.98</v>
      </c>
    </row>
    <row r="217" spans="1:19" x14ac:dyDescent="0.3">
      <c r="A217" s="2">
        <v>44224</v>
      </c>
      <c r="B217">
        <v>45.25</v>
      </c>
      <c r="C217">
        <v>62.04</v>
      </c>
      <c r="D217">
        <v>76.72</v>
      </c>
      <c r="E217">
        <v>89.97</v>
      </c>
      <c r="F217">
        <v>72.959999999999994</v>
      </c>
      <c r="G217">
        <v>52.34</v>
      </c>
      <c r="H217">
        <v>55.53</v>
      </c>
      <c r="I217">
        <v>54.76</v>
      </c>
      <c r="J217">
        <v>46.06</v>
      </c>
      <c r="K217">
        <v>14.54</v>
      </c>
      <c r="L217">
        <v>63206.720000000001</v>
      </c>
      <c r="M217">
        <v>58373.919999999998</v>
      </c>
      <c r="N217">
        <v>8.85</v>
      </c>
      <c r="O217">
        <v>6.583E-2</v>
      </c>
      <c r="P217">
        <v>2.6640000000000001</v>
      </c>
      <c r="Q217">
        <v>112.61</v>
      </c>
      <c r="R217">
        <v>20.91</v>
      </c>
      <c r="S217">
        <v>82.78</v>
      </c>
    </row>
    <row r="218" spans="1:19" x14ac:dyDescent="0.3">
      <c r="A218" s="2">
        <v>44225</v>
      </c>
      <c r="B218">
        <v>45.53</v>
      </c>
      <c r="C218">
        <v>62.85</v>
      </c>
      <c r="D218">
        <v>77.12</v>
      </c>
      <c r="E218">
        <v>87.76</v>
      </c>
      <c r="F218">
        <v>71.34</v>
      </c>
      <c r="G218">
        <v>52.2</v>
      </c>
      <c r="H218">
        <v>55.88</v>
      </c>
      <c r="I218">
        <v>54.77</v>
      </c>
      <c r="J218">
        <v>44.84</v>
      </c>
      <c r="K218">
        <v>14.38</v>
      </c>
      <c r="L218">
        <v>62472.1</v>
      </c>
      <c r="M218">
        <v>57617.78</v>
      </c>
      <c r="N218">
        <v>8.8699999999999992</v>
      </c>
      <c r="O218">
        <v>6.5909999999999996E-2</v>
      </c>
      <c r="P218">
        <v>2.5640000000000001</v>
      </c>
      <c r="Q218">
        <v>110.35</v>
      </c>
      <c r="R218">
        <v>19.82</v>
      </c>
      <c r="S218">
        <v>82.08</v>
      </c>
    </row>
    <row r="219" spans="1:19" x14ac:dyDescent="0.3">
      <c r="A219" s="2">
        <v>44228</v>
      </c>
      <c r="B219">
        <v>45.53</v>
      </c>
      <c r="C219">
        <v>62.85</v>
      </c>
      <c r="D219">
        <v>77.12</v>
      </c>
      <c r="E219">
        <v>87.76</v>
      </c>
      <c r="F219">
        <v>71.34</v>
      </c>
      <c r="G219">
        <v>53.55</v>
      </c>
      <c r="H219">
        <v>56.35</v>
      </c>
      <c r="I219">
        <v>55.66</v>
      </c>
      <c r="J219">
        <v>44.92</v>
      </c>
      <c r="K219">
        <v>14.26</v>
      </c>
      <c r="L219">
        <v>62796.65</v>
      </c>
      <c r="M219">
        <v>58626.400000000001</v>
      </c>
      <c r="N219">
        <v>8.52</v>
      </c>
      <c r="O219">
        <v>6.6269999999999996E-2</v>
      </c>
      <c r="P219">
        <v>2.85</v>
      </c>
      <c r="Q219">
        <v>113.41</v>
      </c>
      <c r="R219">
        <v>18.14</v>
      </c>
      <c r="S219">
        <v>82.48</v>
      </c>
    </row>
    <row r="220" spans="1:19" x14ac:dyDescent="0.3">
      <c r="A220" s="2">
        <v>44229</v>
      </c>
      <c r="B220">
        <v>45.53</v>
      </c>
      <c r="C220">
        <v>62.85</v>
      </c>
      <c r="D220">
        <v>77.12</v>
      </c>
      <c r="E220">
        <v>87.76</v>
      </c>
      <c r="F220">
        <v>71.34</v>
      </c>
      <c r="G220">
        <v>54.76</v>
      </c>
      <c r="H220">
        <v>57.46</v>
      </c>
      <c r="I220">
        <v>56.71</v>
      </c>
      <c r="J220">
        <v>45.63</v>
      </c>
      <c r="K220">
        <v>14.1</v>
      </c>
      <c r="L220">
        <v>62733.65</v>
      </c>
      <c r="M220">
        <v>56826.53</v>
      </c>
      <c r="N220">
        <v>8.43</v>
      </c>
      <c r="O220">
        <v>6.6790000000000002E-2</v>
      </c>
      <c r="P220">
        <v>2.8450000000000002</v>
      </c>
      <c r="Q220">
        <v>116.78</v>
      </c>
      <c r="R220">
        <v>18.25</v>
      </c>
      <c r="S220">
        <v>83.72</v>
      </c>
    </row>
    <row r="221" spans="1:19" x14ac:dyDescent="0.3">
      <c r="A221" s="2">
        <v>44230</v>
      </c>
      <c r="B221">
        <v>45.53</v>
      </c>
      <c r="C221">
        <v>62.85</v>
      </c>
      <c r="D221">
        <v>77.12</v>
      </c>
      <c r="E221">
        <v>87.76</v>
      </c>
      <c r="F221">
        <v>71.34</v>
      </c>
      <c r="G221">
        <v>55.69</v>
      </c>
      <c r="H221">
        <v>58.46</v>
      </c>
      <c r="I221">
        <v>57.69</v>
      </c>
      <c r="J221">
        <v>47.42</v>
      </c>
      <c r="K221">
        <v>14.06</v>
      </c>
      <c r="L221">
        <v>63010.61</v>
      </c>
      <c r="M221">
        <v>56933.65</v>
      </c>
      <c r="N221">
        <v>8.3650000000000002</v>
      </c>
      <c r="O221">
        <v>6.6890000000000005E-2</v>
      </c>
      <c r="P221">
        <v>2.7890000000000001</v>
      </c>
      <c r="Q221">
        <v>115.3</v>
      </c>
      <c r="R221">
        <v>17.855</v>
      </c>
      <c r="S221">
        <v>84.08</v>
      </c>
    </row>
    <row r="222" spans="1:19" x14ac:dyDescent="0.3">
      <c r="A222" s="2">
        <v>44231</v>
      </c>
      <c r="B222">
        <v>45.53</v>
      </c>
      <c r="C222">
        <v>62.85</v>
      </c>
      <c r="D222">
        <v>77.12</v>
      </c>
      <c r="E222">
        <v>87.76</v>
      </c>
      <c r="F222">
        <v>71.34</v>
      </c>
      <c r="G222">
        <v>56.23</v>
      </c>
      <c r="H222">
        <v>58.84</v>
      </c>
      <c r="I222">
        <v>57.97</v>
      </c>
      <c r="J222">
        <v>48.33</v>
      </c>
      <c r="K222">
        <v>14.02</v>
      </c>
      <c r="L222">
        <v>63786.21</v>
      </c>
      <c r="M222">
        <v>57223.11</v>
      </c>
      <c r="N222">
        <v>8.34</v>
      </c>
      <c r="O222">
        <v>6.6619999999999999E-2</v>
      </c>
      <c r="P222">
        <v>2.9350000000000001</v>
      </c>
      <c r="Q222">
        <v>114.55</v>
      </c>
      <c r="R222">
        <v>18.12</v>
      </c>
      <c r="S222">
        <v>85.82</v>
      </c>
    </row>
    <row r="223" spans="1:19" x14ac:dyDescent="0.3">
      <c r="A223" s="2">
        <v>44232</v>
      </c>
      <c r="B223">
        <v>43.02</v>
      </c>
      <c r="C223">
        <v>60.88</v>
      </c>
      <c r="D223">
        <v>74.72</v>
      </c>
      <c r="E223">
        <v>83.95</v>
      </c>
      <c r="F223">
        <v>70.010000000000005</v>
      </c>
      <c r="G223">
        <v>56.85</v>
      </c>
      <c r="H223">
        <v>59.34</v>
      </c>
      <c r="I223">
        <v>58.4</v>
      </c>
      <c r="J223">
        <v>49.95</v>
      </c>
      <c r="K223">
        <v>13.88</v>
      </c>
      <c r="L223">
        <v>64289.48</v>
      </c>
      <c r="M223">
        <v>57588.94</v>
      </c>
      <c r="N223">
        <v>8.3849999999999998</v>
      </c>
      <c r="O223">
        <v>6.7199999999999996E-2</v>
      </c>
      <c r="P223">
        <v>2.863</v>
      </c>
      <c r="Q223">
        <v>114.19</v>
      </c>
      <c r="R223">
        <v>18.38</v>
      </c>
      <c r="S223">
        <v>86.65</v>
      </c>
    </row>
    <row r="224" spans="1:19" x14ac:dyDescent="0.3">
      <c r="A224" s="2">
        <v>44235</v>
      </c>
      <c r="B224">
        <v>43.02</v>
      </c>
      <c r="C224">
        <v>60.88</v>
      </c>
      <c r="D224">
        <v>74.72</v>
      </c>
      <c r="E224">
        <v>83.95</v>
      </c>
      <c r="F224">
        <v>70.010000000000005</v>
      </c>
      <c r="G224">
        <v>57.97</v>
      </c>
      <c r="H224">
        <v>60.56</v>
      </c>
      <c r="I224">
        <v>59.36</v>
      </c>
      <c r="J224">
        <v>52.1</v>
      </c>
      <c r="K224">
        <v>13.86</v>
      </c>
      <c r="L224">
        <v>65059.16</v>
      </c>
      <c r="M224">
        <v>59576.75</v>
      </c>
      <c r="N224">
        <v>8.43</v>
      </c>
      <c r="O224">
        <v>6.7150000000000001E-2</v>
      </c>
      <c r="P224">
        <v>2.8820000000000001</v>
      </c>
      <c r="Q224">
        <v>113.46</v>
      </c>
      <c r="R224">
        <v>20.18</v>
      </c>
      <c r="S224">
        <v>85.48</v>
      </c>
    </row>
    <row r="225" spans="1:19" x14ac:dyDescent="0.3">
      <c r="A225" s="2">
        <v>44236</v>
      </c>
      <c r="B225">
        <v>43.02</v>
      </c>
      <c r="C225">
        <v>60.88</v>
      </c>
      <c r="D225">
        <v>74.72</v>
      </c>
      <c r="E225">
        <v>83.95</v>
      </c>
      <c r="F225">
        <v>70.010000000000005</v>
      </c>
      <c r="G225">
        <v>58.36</v>
      </c>
      <c r="H225">
        <v>61.09</v>
      </c>
      <c r="I225">
        <v>59.63</v>
      </c>
      <c r="J225">
        <v>50.63</v>
      </c>
      <c r="K225">
        <v>13.98</v>
      </c>
      <c r="L225">
        <v>65162.69</v>
      </c>
      <c r="M225">
        <v>59003.18</v>
      </c>
      <c r="N225">
        <v>8.3049999999999997</v>
      </c>
      <c r="O225">
        <v>6.7849999999999994E-2</v>
      </c>
      <c r="P225">
        <v>2.835</v>
      </c>
      <c r="Q225">
        <v>113.26</v>
      </c>
      <c r="R225">
        <v>19.045000000000002</v>
      </c>
      <c r="S225">
        <v>90.8</v>
      </c>
    </row>
    <row r="226" spans="1:19" x14ac:dyDescent="0.3">
      <c r="A226" s="2">
        <v>44237</v>
      </c>
      <c r="B226">
        <v>43.02</v>
      </c>
      <c r="C226">
        <v>60.88</v>
      </c>
      <c r="D226">
        <v>74.72</v>
      </c>
      <c r="E226">
        <v>83.95</v>
      </c>
      <c r="F226">
        <v>70.010000000000005</v>
      </c>
      <c r="G226">
        <v>58.68</v>
      </c>
      <c r="H226">
        <v>61.47</v>
      </c>
      <c r="I226">
        <v>59.69</v>
      </c>
      <c r="J226">
        <v>51.12</v>
      </c>
      <c r="K226">
        <v>13.98</v>
      </c>
      <c r="L226">
        <v>66150.820000000007</v>
      </c>
      <c r="M226">
        <v>61163.73</v>
      </c>
      <c r="N226">
        <v>8.2799999999999994</v>
      </c>
      <c r="O226">
        <v>6.7750000000000005E-2</v>
      </c>
      <c r="P226">
        <v>2.911</v>
      </c>
      <c r="Q226">
        <v>111.66</v>
      </c>
      <c r="R226">
        <v>18.559999999999999</v>
      </c>
      <c r="S226">
        <v>90.22</v>
      </c>
    </row>
    <row r="227" spans="1:19" x14ac:dyDescent="0.3">
      <c r="A227" s="2">
        <v>44238</v>
      </c>
      <c r="B227">
        <v>43.02</v>
      </c>
      <c r="C227">
        <v>60.88</v>
      </c>
      <c r="D227">
        <v>74.72</v>
      </c>
      <c r="E227">
        <v>83.95</v>
      </c>
      <c r="F227">
        <v>70.010000000000005</v>
      </c>
      <c r="G227">
        <v>58.24</v>
      </c>
      <c r="H227">
        <v>61.14</v>
      </c>
      <c r="I227">
        <v>59.56</v>
      </c>
      <c r="J227">
        <v>49.84</v>
      </c>
      <c r="K227">
        <v>14.02</v>
      </c>
      <c r="L227">
        <v>65882.720000000001</v>
      </c>
      <c r="M227">
        <v>60173.38</v>
      </c>
      <c r="N227">
        <v>8.2650000000000006</v>
      </c>
      <c r="O227">
        <v>6.8309999999999996E-2</v>
      </c>
      <c r="P227">
        <v>2.8679999999999999</v>
      </c>
      <c r="Q227">
        <v>111.3</v>
      </c>
      <c r="R227">
        <v>17.375</v>
      </c>
      <c r="S227">
        <v>100.18</v>
      </c>
    </row>
    <row r="228" spans="1:19" x14ac:dyDescent="0.3">
      <c r="A228" s="2">
        <v>44239</v>
      </c>
      <c r="B228">
        <v>46.13</v>
      </c>
      <c r="C228">
        <v>64.23</v>
      </c>
      <c r="D228">
        <v>78.89</v>
      </c>
      <c r="E228">
        <v>90.18</v>
      </c>
      <c r="F228">
        <v>73.09</v>
      </c>
      <c r="G228">
        <v>59.47</v>
      </c>
      <c r="H228">
        <v>62.43</v>
      </c>
      <c r="I228">
        <v>60.23</v>
      </c>
      <c r="J228">
        <v>50.52</v>
      </c>
      <c r="K228">
        <v>21.274702495201531</v>
      </c>
      <c r="L228">
        <v>66132.240000000005</v>
      </c>
      <c r="M228">
        <v>59807.88</v>
      </c>
      <c r="N228">
        <v>8.2639999999999993</v>
      </c>
      <c r="O228">
        <v>6.8669999999999995E-2</v>
      </c>
      <c r="P228">
        <v>2.9119999999999999</v>
      </c>
      <c r="Q228">
        <v>111.07</v>
      </c>
      <c r="R228">
        <v>17.62</v>
      </c>
      <c r="S228">
        <v>99.43</v>
      </c>
    </row>
    <row r="229" spans="1:19" x14ac:dyDescent="0.3">
      <c r="A229" s="2">
        <v>44242</v>
      </c>
      <c r="B229">
        <v>46.13</v>
      </c>
      <c r="C229">
        <v>64.23</v>
      </c>
      <c r="D229">
        <v>78.89</v>
      </c>
      <c r="E229">
        <v>90.18</v>
      </c>
      <c r="F229">
        <v>73.09</v>
      </c>
      <c r="G229">
        <v>60.09</v>
      </c>
      <c r="H229">
        <v>63.3</v>
      </c>
      <c r="I229">
        <v>74.752492970946577</v>
      </c>
      <c r="J229">
        <v>80.871012183692585</v>
      </c>
      <c r="K229">
        <v>21.274702495201531</v>
      </c>
      <c r="L229">
        <v>67124.83</v>
      </c>
      <c r="M229">
        <v>62234.11</v>
      </c>
      <c r="N229">
        <v>17.62252908067542</v>
      </c>
      <c r="O229">
        <v>6.9139999999999993E-2</v>
      </c>
      <c r="P229">
        <v>3.0670000000000002</v>
      </c>
      <c r="Q229">
        <v>112.7561105904405</v>
      </c>
      <c r="R229">
        <v>57.384855947955387</v>
      </c>
      <c r="S229">
        <v>97.17</v>
      </c>
    </row>
    <row r="230" spans="1:19" x14ac:dyDescent="0.3">
      <c r="A230" s="2">
        <v>44243</v>
      </c>
      <c r="B230">
        <v>46.13</v>
      </c>
      <c r="C230">
        <v>64.23</v>
      </c>
      <c r="D230">
        <v>78.89</v>
      </c>
      <c r="E230">
        <v>90.18</v>
      </c>
      <c r="F230">
        <v>73.09</v>
      </c>
      <c r="G230">
        <v>60.05</v>
      </c>
      <c r="H230">
        <v>63.35</v>
      </c>
      <c r="I230">
        <v>60.6</v>
      </c>
      <c r="J230">
        <v>52.04</v>
      </c>
      <c r="K230">
        <v>14.42</v>
      </c>
      <c r="L230">
        <v>67227.06</v>
      </c>
      <c r="M230">
        <v>62857.63</v>
      </c>
      <c r="N230">
        <v>6.35</v>
      </c>
      <c r="O230">
        <v>6.8169999999999994E-2</v>
      </c>
      <c r="P230">
        <v>3.129</v>
      </c>
      <c r="Q230">
        <v>112.42</v>
      </c>
      <c r="R230">
        <v>16.715</v>
      </c>
      <c r="S230">
        <v>92.4</v>
      </c>
    </row>
    <row r="231" spans="1:19" x14ac:dyDescent="0.3">
      <c r="A231" s="2">
        <v>44244</v>
      </c>
      <c r="B231">
        <v>46.13</v>
      </c>
      <c r="C231">
        <v>64.23</v>
      </c>
      <c r="D231">
        <v>78.89</v>
      </c>
      <c r="E231">
        <v>90.18</v>
      </c>
      <c r="F231">
        <v>73.09</v>
      </c>
      <c r="G231">
        <v>61.14</v>
      </c>
      <c r="H231">
        <v>64.34</v>
      </c>
      <c r="I231">
        <v>60.89</v>
      </c>
      <c r="J231">
        <v>52.85</v>
      </c>
      <c r="K231">
        <v>14.6</v>
      </c>
      <c r="L231">
        <v>67110.070000000007</v>
      </c>
      <c r="M231">
        <v>62917.04</v>
      </c>
      <c r="N231">
        <v>6.3049999999999997</v>
      </c>
      <c r="O231">
        <v>6.8220000000000003E-2</v>
      </c>
      <c r="P231">
        <v>3.2189999999999999</v>
      </c>
      <c r="Q231">
        <v>112.78</v>
      </c>
      <c r="R231">
        <v>16.54</v>
      </c>
      <c r="S231">
        <v>94.63</v>
      </c>
    </row>
    <row r="232" spans="1:19" x14ac:dyDescent="0.3">
      <c r="A232" s="2">
        <v>44245</v>
      </c>
      <c r="B232">
        <v>46.13</v>
      </c>
      <c r="C232">
        <v>64.23</v>
      </c>
      <c r="D232">
        <v>78.89</v>
      </c>
      <c r="E232">
        <v>90.18</v>
      </c>
      <c r="F232">
        <v>73.09</v>
      </c>
      <c r="G232">
        <v>60.52</v>
      </c>
      <c r="H232">
        <v>63.93</v>
      </c>
      <c r="I232">
        <v>60.59</v>
      </c>
      <c r="J232">
        <v>52.02</v>
      </c>
      <c r="K232">
        <v>14.88</v>
      </c>
      <c r="L232">
        <v>66575.45</v>
      </c>
      <c r="M232">
        <v>62471.47</v>
      </c>
      <c r="N232">
        <v>6.6</v>
      </c>
      <c r="O232">
        <v>6.8430000000000005E-2</v>
      </c>
      <c r="P232">
        <v>3.0819999999999999</v>
      </c>
      <c r="Q232">
        <v>113.86</v>
      </c>
      <c r="R232">
        <v>17.329999999999998</v>
      </c>
      <c r="S232">
        <v>99.28</v>
      </c>
    </row>
    <row r="233" spans="1:19" x14ac:dyDescent="0.3">
      <c r="A233" s="2">
        <v>44246</v>
      </c>
      <c r="B233">
        <v>45.36</v>
      </c>
      <c r="C233">
        <v>62.33</v>
      </c>
      <c r="D233">
        <v>76.59</v>
      </c>
      <c r="E233">
        <v>89.3</v>
      </c>
      <c r="F233">
        <v>79</v>
      </c>
      <c r="G233">
        <v>59.24</v>
      </c>
      <c r="H233">
        <v>62.91</v>
      </c>
      <c r="I233">
        <v>60.2</v>
      </c>
      <c r="J233">
        <v>52.37</v>
      </c>
      <c r="K233">
        <v>14.92</v>
      </c>
      <c r="L233">
        <v>67464.86</v>
      </c>
      <c r="M233">
        <v>63739.87</v>
      </c>
      <c r="N233">
        <v>6.4</v>
      </c>
      <c r="O233">
        <v>6.8210000000000007E-2</v>
      </c>
      <c r="P233">
        <v>3.069</v>
      </c>
      <c r="Q233">
        <v>113.35</v>
      </c>
      <c r="R233">
        <v>16.555</v>
      </c>
      <c r="S233">
        <v>98.4</v>
      </c>
    </row>
    <row r="234" spans="1:19" x14ac:dyDescent="0.3">
      <c r="A234" s="2">
        <v>44249</v>
      </c>
      <c r="B234">
        <v>45.36</v>
      </c>
      <c r="C234">
        <v>62.33</v>
      </c>
      <c r="D234">
        <v>76.59</v>
      </c>
      <c r="E234">
        <v>89.3</v>
      </c>
      <c r="F234">
        <v>79</v>
      </c>
      <c r="G234">
        <v>61.49</v>
      </c>
      <c r="H234">
        <v>65.239999999999995</v>
      </c>
      <c r="I234">
        <v>60.62</v>
      </c>
      <c r="J234">
        <v>54.3</v>
      </c>
      <c r="K234">
        <v>15.54</v>
      </c>
      <c r="L234">
        <v>67362.820000000007</v>
      </c>
      <c r="M234">
        <v>64298.01</v>
      </c>
      <c r="N234">
        <v>6.2549999999999999</v>
      </c>
      <c r="O234">
        <v>6.8099999999999994E-2</v>
      </c>
      <c r="P234">
        <v>2.9529999999999998</v>
      </c>
      <c r="Q234">
        <v>111.72</v>
      </c>
      <c r="R234">
        <v>15.96</v>
      </c>
      <c r="S234">
        <v>98.42</v>
      </c>
    </row>
    <row r="235" spans="1:19" x14ac:dyDescent="0.3">
      <c r="A235" s="2">
        <v>44250</v>
      </c>
      <c r="B235">
        <v>45.36</v>
      </c>
      <c r="C235">
        <v>62.33</v>
      </c>
      <c r="D235">
        <v>76.59</v>
      </c>
      <c r="E235">
        <v>89.3</v>
      </c>
      <c r="F235">
        <v>79</v>
      </c>
      <c r="G235">
        <v>61.67</v>
      </c>
      <c r="H235">
        <v>65.37</v>
      </c>
      <c r="I235">
        <v>60.63</v>
      </c>
      <c r="J235">
        <v>55.05</v>
      </c>
      <c r="K235">
        <v>15.16</v>
      </c>
      <c r="L235">
        <v>65921.600000000006</v>
      </c>
      <c r="M235">
        <v>62988.51</v>
      </c>
      <c r="N235">
        <v>6.23</v>
      </c>
      <c r="O235">
        <v>6.8729999999999999E-2</v>
      </c>
      <c r="P235">
        <v>2.879</v>
      </c>
      <c r="Q235">
        <v>111.42</v>
      </c>
      <c r="R235">
        <v>16.25</v>
      </c>
      <c r="S235">
        <v>99.28</v>
      </c>
    </row>
    <row r="236" spans="1:19" x14ac:dyDescent="0.3">
      <c r="A236" s="2">
        <v>44251</v>
      </c>
      <c r="B236">
        <v>45.36</v>
      </c>
      <c r="C236">
        <v>62.33</v>
      </c>
      <c r="D236">
        <v>76.59</v>
      </c>
      <c r="E236">
        <v>89.3</v>
      </c>
      <c r="F236">
        <v>79</v>
      </c>
      <c r="G236">
        <v>63.22</v>
      </c>
      <c r="H236">
        <v>67.040000000000006</v>
      </c>
      <c r="I236">
        <v>60.81</v>
      </c>
      <c r="J236">
        <v>56.7</v>
      </c>
      <c r="K236">
        <v>14.88</v>
      </c>
      <c r="L236">
        <v>66200.759999999995</v>
      </c>
      <c r="M236">
        <v>63484.59</v>
      </c>
      <c r="N236">
        <v>6.04</v>
      </c>
      <c r="O236">
        <v>6.8949999999999997E-2</v>
      </c>
      <c r="P236">
        <v>2.8540000000000001</v>
      </c>
      <c r="Q236">
        <v>111.46</v>
      </c>
      <c r="R236">
        <v>16.38</v>
      </c>
      <c r="S236">
        <v>102.78</v>
      </c>
    </row>
    <row r="237" spans="1:19" x14ac:dyDescent="0.3">
      <c r="A237" s="2">
        <v>44252</v>
      </c>
      <c r="B237">
        <v>45.36</v>
      </c>
      <c r="C237">
        <v>62.33</v>
      </c>
      <c r="D237">
        <v>76.59</v>
      </c>
      <c r="E237">
        <v>89.3</v>
      </c>
      <c r="F237">
        <v>79</v>
      </c>
      <c r="G237">
        <v>63.53</v>
      </c>
      <c r="H237">
        <v>66.88</v>
      </c>
      <c r="I237">
        <v>60.84</v>
      </c>
      <c r="J237">
        <v>55.76</v>
      </c>
      <c r="K237">
        <v>15.2</v>
      </c>
      <c r="L237">
        <v>67483.759999999995</v>
      </c>
      <c r="M237">
        <v>66960.03</v>
      </c>
      <c r="N237">
        <v>5.8049999999999997</v>
      </c>
      <c r="O237">
        <v>6.6320000000000004E-2</v>
      </c>
      <c r="P237">
        <v>2.7770000000000001</v>
      </c>
      <c r="Q237">
        <v>112</v>
      </c>
      <c r="R237">
        <v>15.935</v>
      </c>
      <c r="S237">
        <v>100.55</v>
      </c>
    </row>
    <row r="238" spans="1:19" x14ac:dyDescent="0.3">
      <c r="A238" s="2">
        <v>44253</v>
      </c>
      <c r="B238">
        <v>44.5</v>
      </c>
      <c r="C238">
        <v>60.84</v>
      </c>
      <c r="D238">
        <v>75.25</v>
      </c>
      <c r="E238">
        <v>85.6</v>
      </c>
      <c r="F238">
        <v>74.069999999999993</v>
      </c>
      <c r="G238">
        <v>61.5</v>
      </c>
      <c r="H238">
        <v>66.13</v>
      </c>
      <c r="I238">
        <v>60.85</v>
      </c>
      <c r="J238">
        <v>54.37</v>
      </c>
      <c r="K238">
        <v>14.74</v>
      </c>
      <c r="L238">
        <v>66138.05</v>
      </c>
      <c r="M238">
        <v>64310.69</v>
      </c>
      <c r="N238">
        <v>6.1950000000000003</v>
      </c>
      <c r="O238">
        <v>6.6189999999999999E-2</v>
      </c>
      <c r="P238">
        <v>2.7709999999999999</v>
      </c>
      <c r="Q238">
        <v>110.31</v>
      </c>
      <c r="R238">
        <v>15.695</v>
      </c>
      <c r="S238">
        <v>97.78</v>
      </c>
    </row>
    <row r="239" spans="1:19" x14ac:dyDescent="0.3">
      <c r="A239" s="2">
        <v>44256</v>
      </c>
      <c r="B239">
        <v>44.5</v>
      </c>
      <c r="C239">
        <v>60.84</v>
      </c>
      <c r="D239">
        <v>75.25</v>
      </c>
      <c r="E239">
        <v>85.6</v>
      </c>
      <c r="F239">
        <v>74.069999999999993</v>
      </c>
      <c r="G239">
        <v>60.64</v>
      </c>
      <c r="H239">
        <v>63.69</v>
      </c>
      <c r="I239">
        <v>62.28</v>
      </c>
      <c r="J239">
        <v>56.4</v>
      </c>
      <c r="K239">
        <v>14.84</v>
      </c>
      <c r="L239">
        <v>67536.960000000006</v>
      </c>
      <c r="M239">
        <v>65698.91</v>
      </c>
      <c r="N239">
        <v>5.9249999999999998</v>
      </c>
      <c r="O239">
        <v>6.6559999999999994E-2</v>
      </c>
      <c r="P239">
        <v>2.7770000000000001</v>
      </c>
      <c r="Q239">
        <v>113.74</v>
      </c>
      <c r="R239">
        <v>16.079999999999998</v>
      </c>
      <c r="S239">
        <v>100.35</v>
      </c>
    </row>
    <row r="240" spans="1:19" x14ac:dyDescent="0.3">
      <c r="A240" s="2">
        <v>44257</v>
      </c>
      <c r="B240">
        <v>44.5</v>
      </c>
      <c r="C240">
        <v>60.84</v>
      </c>
      <c r="D240">
        <v>75.25</v>
      </c>
      <c r="E240">
        <v>85.6</v>
      </c>
      <c r="F240">
        <v>74.069999999999993</v>
      </c>
      <c r="G240">
        <v>59.75</v>
      </c>
      <c r="H240">
        <v>62.7</v>
      </c>
      <c r="I240">
        <v>61.33</v>
      </c>
      <c r="J240">
        <v>56.07</v>
      </c>
      <c r="K240">
        <v>14.7</v>
      </c>
      <c r="L240">
        <v>68510.75</v>
      </c>
      <c r="M240">
        <v>67188.87</v>
      </c>
      <c r="N240">
        <v>5.875</v>
      </c>
      <c r="O240">
        <v>6.6900000000000001E-2</v>
      </c>
      <c r="P240">
        <v>2.839</v>
      </c>
      <c r="Q240">
        <v>113.62</v>
      </c>
      <c r="R240">
        <v>15.87</v>
      </c>
      <c r="S240">
        <v>100.92</v>
      </c>
    </row>
    <row r="241" spans="1:19" x14ac:dyDescent="0.3">
      <c r="A241" s="2">
        <v>44258</v>
      </c>
      <c r="B241">
        <v>44.5</v>
      </c>
      <c r="C241">
        <v>60.84</v>
      </c>
      <c r="D241">
        <v>75.25</v>
      </c>
      <c r="E241">
        <v>85.6</v>
      </c>
      <c r="F241">
        <v>74.069999999999993</v>
      </c>
      <c r="G241">
        <v>61.28</v>
      </c>
      <c r="H241">
        <v>64.069999999999993</v>
      </c>
      <c r="I241">
        <v>62.55</v>
      </c>
      <c r="J241">
        <v>56.52</v>
      </c>
      <c r="K241">
        <v>15.06</v>
      </c>
      <c r="L241">
        <v>68326.789999999994</v>
      </c>
      <c r="M241">
        <v>65970.44</v>
      </c>
      <c r="N241">
        <v>5.875</v>
      </c>
      <c r="O241">
        <v>6.6250000000000003E-2</v>
      </c>
      <c r="P241">
        <v>2.8159999999999998</v>
      </c>
      <c r="Q241">
        <v>111.64</v>
      </c>
      <c r="R241">
        <v>15.525</v>
      </c>
      <c r="S241">
        <v>99.15</v>
      </c>
    </row>
    <row r="242" spans="1:19" x14ac:dyDescent="0.3">
      <c r="A242" s="2">
        <v>44259</v>
      </c>
      <c r="B242">
        <v>44.5</v>
      </c>
      <c r="C242">
        <v>60.84</v>
      </c>
      <c r="D242">
        <v>75.25</v>
      </c>
      <c r="E242">
        <v>85.6</v>
      </c>
      <c r="F242">
        <v>74.069999999999993</v>
      </c>
      <c r="G242">
        <v>63.83</v>
      </c>
      <c r="H242">
        <v>66.739999999999995</v>
      </c>
      <c r="I242">
        <v>64.8</v>
      </c>
      <c r="J242">
        <v>58.71</v>
      </c>
      <c r="K242">
        <v>14.96</v>
      </c>
      <c r="L242">
        <v>67743.539999999994</v>
      </c>
      <c r="M242">
        <v>65763.460000000006</v>
      </c>
      <c r="N242">
        <v>6</v>
      </c>
      <c r="O242">
        <v>6.5329999999999999E-2</v>
      </c>
      <c r="P242">
        <v>2.746</v>
      </c>
      <c r="Q242">
        <v>111.13</v>
      </c>
      <c r="R242">
        <v>15.93</v>
      </c>
      <c r="S242">
        <v>103.52</v>
      </c>
    </row>
    <row r="243" spans="1:19" x14ac:dyDescent="0.3">
      <c r="A243" s="2">
        <v>44260</v>
      </c>
      <c r="B243">
        <v>45.75</v>
      </c>
      <c r="C243">
        <v>62.25</v>
      </c>
      <c r="D243">
        <v>77.27</v>
      </c>
      <c r="E243">
        <v>90.96</v>
      </c>
      <c r="F243">
        <v>76.739999999999995</v>
      </c>
      <c r="G243">
        <v>66.09</v>
      </c>
      <c r="H243">
        <v>69.36</v>
      </c>
      <c r="I243">
        <v>66.89</v>
      </c>
      <c r="J243">
        <v>60.93</v>
      </c>
      <c r="K243">
        <v>14.8</v>
      </c>
      <c r="L243">
        <v>68271.19</v>
      </c>
      <c r="M243">
        <v>67009.710000000006</v>
      </c>
      <c r="N243">
        <v>6</v>
      </c>
      <c r="O243">
        <v>6.5089999999999995E-2</v>
      </c>
      <c r="P243">
        <v>2.7010000000000001</v>
      </c>
      <c r="Q243">
        <v>114.97</v>
      </c>
      <c r="R243">
        <v>16.364999999999998</v>
      </c>
      <c r="S243">
        <v>102.13</v>
      </c>
    </row>
    <row r="244" spans="1:19" x14ac:dyDescent="0.3">
      <c r="A244" s="2">
        <v>44263</v>
      </c>
      <c r="B244">
        <v>45.75</v>
      </c>
      <c r="C244">
        <v>62.25</v>
      </c>
      <c r="D244">
        <v>77.27</v>
      </c>
      <c r="E244">
        <v>90.96</v>
      </c>
      <c r="F244">
        <v>76.739999999999995</v>
      </c>
      <c r="G244">
        <v>65.05</v>
      </c>
      <c r="H244">
        <v>68.239999999999995</v>
      </c>
      <c r="I244">
        <v>65.84</v>
      </c>
      <c r="J244">
        <v>60.87</v>
      </c>
      <c r="K244">
        <v>14.74</v>
      </c>
      <c r="L244">
        <v>68426.17</v>
      </c>
      <c r="M244">
        <v>67897.78</v>
      </c>
      <c r="N244">
        <v>6</v>
      </c>
      <c r="O244">
        <v>6.4320000000000002E-2</v>
      </c>
      <c r="P244">
        <v>2.6640000000000001</v>
      </c>
      <c r="Q244">
        <v>113.74</v>
      </c>
      <c r="R244">
        <v>16.149999999999999</v>
      </c>
      <c r="S244">
        <v>102.35</v>
      </c>
    </row>
    <row r="245" spans="1:19" x14ac:dyDescent="0.3">
      <c r="A245" s="2">
        <v>44264</v>
      </c>
      <c r="B245">
        <v>45.75</v>
      </c>
      <c r="C245">
        <v>62.25</v>
      </c>
      <c r="D245">
        <v>77.27</v>
      </c>
      <c r="E245">
        <v>90.96</v>
      </c>
      <c r="F245">
        <v>76.739999999999995</v>
      </c>
      <c r="G245">
        <v>64.010000000000005</v>
      </c>
      <c r="H245">
        <v>67.52</v>
      </c>
      <c r="I245">
        <v>65.37</v>
      </c>
      <c r="J245">
        <v>59.93</v>
      </c>
      <c r="K245">
        <v>14.5</v>
      </c>
      <c r="L245">
        <v>68655.960000000006</v>
      </c>
      <c r="M245">
        <v>67056.69</v>
      </c>
      <c r="N245">
        <v>6.01</v>
      </c>
      <c r="O245">
        <v>6.5320000000000003E-2</v>
      </c>
      <c r="P245">
        <v>2.6619999999999999</v>
      </c>
      <c r="Q245">
        <v>114.41</v>
      </c>
      <c r="R245">
        <v>16.925000000000001</v>
      </c>
      <c r="S245">
        <v>100.48</v>
      </c>
    </row>
    <row r="246" spans="1:19" x14ac:dyDescent="0.3">
      <c r="A246" s="2">
        <v>44265</v>
      </c>
      <c r="B246">
        <v>45.75</v>
      </c>
      <c r="C246">
        <v>62.25</v>
      </c>
      <c r="D246">
        <v>77.27</v>
      </c>
      <c r="E246">
        <v>90.96</v>
      </c>
      <c r="F246">
        <v>76.739999999999995</v>
      </c>
      <c r="G246">
        <v>64.44</v>
      </c>
      <c r="H246">
        <v>67.900000000000006</v>
      </c>
      <c r="I246">
        <v>65.540000000000006</v>
      </c>
      <c r="J246">
        <v>61.77</v>
      </c>
      <c r="K246">
        <v>14.32</v>
      </c>
      <c r="L246">
        <v>68516.990000000005</v>
      </c>
      <c r="M246">
        <v>66442.740000000005</v>
      </c>
      <c r="N246">
        <v>6</v>
      </c>
      <c r="O246">
        <v>6.6309999999999994E-2</v>
      </c>
      <c r="P246">
        <v>2.6920000000000002</v>
      </c>
      <c r="Q246">
        <v>115.58</v>
      </c>
      <c r="R246">
        <v>17.63</v>
      </c>
      <c r="S246">
        <v>102.65</v>
      </c>
    </row>
    <row r="247" spans="1:19" x14ac:dyDescent="0.3">
      <c r="A247" s="2">
        <v>44266</v>
      </c>
      <c r="B247">
        <v>45.75</v>
      </c>
      <c r="C247">
        <v>62.25</v>
      </c>
      <c r="D247">
        <v>77.27</v>
      </c>
      <c r="E247">
        <v>90.96</v>
      </c>
      <c r="F247">
        <v>76.739999999999995</v>
      </c>
      <c r="G247">
        <v>66.02</v>
      </c>
      <c r="H247">
        <v>69.63</v>
      </c>
      <c r="I247">
        <v>66.650000000000006</v>
      </c>
      <c r="J247">
        <v>61.31</v>
      </c>
      <c r="K247">
        <v>14.58</v>
      </c>
      <c r="L247">
        <v>68775.06</v>
      </c>
      <c r="M247">
        <v>66550.41</v>
      </c>
      <c r="N247">
        <v>6.0549999999999997</v>
      </c>
      <c r="O247">
        <v>6.7349999999999993E-2</v>
      </c>
      <c r="P247">
        <v>2.6680000000000001</v>
      </c>
      <c r="Q247">
        <v>115.2</v>
      </c>
      <c r="R247">
        <v>18.125</v>
      </c>
      <c r="S247">
        <v>141.61602674307539</v>
      </c>
    </row>
    <row r="248" spans="1:19" x14ac:dyDescent="0.3">
      <c r="A248" s="2">
        <v>44267</v>
      </c>
      <c r="B248">
        <v>45.37</v>
      </c>
      <c r="C248">
        <v>62.48</v>
      </c>
      <c r="D248">
        <v>77.66</v>
      </c>
      <c r="E248">
        <v>91.56</v>
      </c>
      <c r="F248">
        <v>77.040000000000006</v>
      </c>
      <c r="G248">
        <v>65.61</v>
      </c>
      <c r="H248">
        <v>69.22</v>
      </c>
      <c r="I248">
        <v>66.5</v>
      </c>
      <c r="J248">
        <v>61.97</v>
      </c>
      <c r="K248">
        <v>14.66</v>
      </c>
      <c r="L248">
        <v>68209.86</v>
      </c>
      <c r="M248">
        <v>66247.839999999997</v>
      </c>
      <c r="N248">
        <v>6.07</v>
      </c>
      <c r="O248">
        <v>6.6860000000000003E-2</v>
      </c>
      <c r="P248">
        <v>2.6</v>
      </c>
      <c r="Q248">
        <v>115.32</v>
      </c>
      <c r="R248">
        <v>18.45</v>
      </c>
      <c r="S248">
        <v>109.42</v>
      </c>
    </row>
    <row r="249" spans="1:19" x14ac:dyDescent="0.3">
      <c r="A249" s="2">
        <v>44270</v>
      </c>
      <c r="B249">
        <v>45.37</v>
      </c>
      <c r="C249">
        <v>62.48</v>
      </c>
      <c r="D249">
        <v>77.66</v>
      </c>
      <c r="E249">
        <v>91.56</v>
      </c>
      <c r="F249">
        <v>77.040000000000006</v>
      </c>
      <c r="G249">
        <v>65.39</v>
      </c>
      <c r="H249">
        <v>68.88</v>
      </c>
      <c r="I249">
        <v>66.38</v>
      </c>
      <c r="J249">
        <v>60.39</v>
      </c>
      <c r="K249">
        <v>15</v>
      </c>
      <c r="L249">
        <v>67566.42</v>
      </c>
      <c r="M249">
        <v>65295.21</v>
      </c>
      <c r="N249">
        <v>6.077</v>
      </c>
      <c r="O249">
        <v>6.7239999999999994E-2</v>
      </c>
      <c r="P249">
        <v>2.484</v>
      </c>
      <c r="Q249">
        <v>115.66</v>
      </c>
      <c r="R249">
        <v>17.93</v>
      </c>
      <c r="S249">
        <v>114.73</v>
      </c>
    </row>
    <row r="250" spans="1:19" x14ac:dyDescent="0.3">
      <c r="A250" s="2">
        <v>44271</v>
      </c>
      <c r="B250">
        <v>45.37</v>
      </c>
      <c r="C250">
        <v>62.48</v>
      </c>
      <c r="D250">
        <v>77.66</v>
      </c>
      <c r="E250">
        <v>91.56</v>
      </c>
      <c r="F250">
        <v>77.040000000000006</v>
      </c>
      <c r="G250">
        <v>64.8</v>
      </c>
      <c r="H250">
        <v>68.39</v>
      </c>
      <c r="I250">
        <v>66.05</v>
      </c>
      <c r="J250">
        <v>59.11</v>
      </c>
      <c r="K250">
        <v>14.98</v>
      </c>
      <c r="L250">
        <v>67289.37</v>
      </c>
      <c r="M250">
        <v>65082.35</v>
      </c>
      <c r="N250">
        <v>6.53</v>
      </c>
      <c r="O250">
        <v>6.7239999999999994E-2</v>
      </c>
      <c r="P250">
        <v>2.5619999999999998</v>
      </c>
      <c r="Q250">
        <v>114.66</v>
      </c>
      <c r="R250">
        <v>17.66</v>
      </c>
      <c r="S250">
        <v>113.23</v>
      </c>
    </row>
    <row r="251" spans="1:19" x14ac:dyDescent="0.3">
      <c r="A251" s="2">
        <v>44272</v>
      </c>
      <c r="B251">
        <v>45.37</v>
      </c>
      <c r="C251">
        <v>62.48</v>
      </c>
      <c r="D251">
        <v>77.66</v>
      </c>
      <c r="E251">
        <v>91.56</v>
      </c>
      <c r="F251">
        <v>77.040000000000006</v>
      </c>
      <c r="G251">
        <v>64.599999999999994</v>
      </c>
      <c r="H251">
        <v>68</v>
      </c>
      <c r="I251">
        <v>65.77</v>
      </c>
      <c r="J251">
        <v>59.37</v>
      </c>
      <c r="K251">
        <v>14.98</v>
      </c>
      <c r="L251">
        <v>66494.490000000005</v>
      </c>
      <c r="M251">
        <v>63552.27</v>
      </c>
      <c r="N251">
        <v>6.65</v>
      </c>
      <c r="O251">
        <v>6.8229999999999999E-2</v>
      </c>
      <c r="P251">
        <v>2.528</v>
      </c>
      <c r="Q251">
        <v>113.7</v>
      </c>
      <c r="R251">
        <v>17.97</v>
      </c>
      <c r="S251">
        <v>114.62</v>
      </c>
    </row>
    <row r="252" spans="1:19" x14ac:dyDescent="0.3">
      <c r="A252" s="2">
        <v>44273</v>
      </c>
      <c r="B252">
        <v>45.37</v>
      </c>
      <c r="C252">
        <v>62.48</v>
      </c>
      <c r="D252">
        <v>77.66</v>
      </c>
      <c r="E252">
        <v>91.56</v>
      </c>
      <c r="F252">
        <v>77.040000000000006</v>
      </c>
      <c r="G252">
        <v>60</v>
      </c>
      <c r="H252">
        <v>63.28</v>
      </c>
      <c r="I252">
        <v>63.9</v>
      </c>
      <c r="J252">
        <v>56.81</v>
      </c>
      <c r="K252">
        <v>14.9</v>
      </c>
      <c r="L252">
        <v>66739.740000000005</v>
      </c>
      <c r="M252">
        <v>64267.5</v>
      </c>
      <c r="N252">
        <v>6.5650000000000004</v>
      </c>
      <c r="O252">
        <v>6.7669999999999994E-2</v>
      </c>
      <c r="P252">
        <v>2.4809999999999999</v>
      </c>
      <c r="Q252">
        <v>111.64</v>
      </c>
      <c r="R252">
        <v>17.760000000000002</v>
      </c>
      <c r="S252">
        <v>119.13</v>
      </c>
    </row>
    <row r="253" spans="1:19" x14ac:dyDescent="0.3">
      <c r="A253" s="2">
        <v>44274</v>
      </c>
      <c r="B253">
        <v>50.48</v>
      </c>
      <c r="C253">
        <v>67.69</v>
      </c>
      <c r="D253">
        <v>83.4</v>
      </c>
      <c r="E253">
        <v>96.48</v>
      </c>
      <c r="F253">
        <v>80.22</v>
      </c>
      <c r="G253">
        <v>61.42</v>
      </c>
      <c r="H253">
        <v>64.53</v>
      </c>
      <c r="I253">
        <v>64.569999999999993</v>
      </c>
      <c r="J253">
        <v>56.49</v>
      </c>
      <c r="K253">
        <v>14.62</v>
      </c>
      <c r="L253">
        <v>65911.27</v>
      </c>
      <c r="M253">
        <v>62730.97</v>
      </c>
      <c r="N253">
        <v>6.4249999999999998</v>
      </c>
      <c r="O253">
        <v>6.7930000000000004E-2</v>
      </c>
      <c r="P253">
        <v>2.5350000000000001</v>
      </c>
      <c r="Q253">
        <v>111.2</v>
      </c>
      <c r="R253">
        <v>17.265000000000001</v>
      </c>
      <c r="S253">
        <v>123.63</v>
      </c>
    </row>
    <row r="254" spans="1:19" x14ac:dyDescent="0.3">
      <c r="A254" s="2">
        <v>44277</v>
      </c>
      <c r="B254">
        <v>50.48</v>
      </c>
      <c r="C254">
        <v>67.69</v>
      </c>
      <c r="D254">
        <v>83.4</v>
      </c>
      <c r="E254">
        <v>96.48</v>
      </c>
      <c r="F254">
        <v>80.22</v>
      </c>
      <c r="G254">
        <v>61.55</v>
      </c>
      <c r="H254">
        <v>64.62</v>
      </c>
      <c r="I254">
        <v>64.709999999999994</v>
      </c>
      <c r="J254">
        <v>55.91</v>
      </c>
      <c r="K254">
        <v>14.8</v>
      </c>
      <c r="L254">
        <v>68736.904810964072</v>
      </c>
      <c r="M254">
        <v>52972.178374291107</v>
      </c>
      <c r="N254">
        <v>6.625</v>
      </c>
      <c r="O254">
        <v>6.7890000000000006E-2</v>
      </c>
      <c r="P254">
        <v>2.5819999999999999</v>
      </c>
      <c r="Q254">
        <v>111.55</v>
      </c>
      <c r="R254">
        <v>18.045000000000002</v>
      </c>
      <c r="S254">
        <v>118.75</v>
      </c>
    </row>
    <row r="255" spans="1:19" x14ac:dyDescent="0.3">
      <c r="A255" s="2">
        <v>44278</v>
      </c>
      <c r="B255">
        <v>50.48</v>
      </c>
      <c r="C255">
        <v>67.69</v>
      </c>
      <c r="D255">
        <v>83.4</v>
      </c>
      <c r="E255">
        <v>96.48</v>
      </c>
      <c r="F255">
        <v>80.22</v>
      </c>
      <c r="G255">
        <v>57.76</v>
      </c>
      <c r="H255">
        <v>60.79</v>
      </c>
      <c r="I255">
        <v>63.72</v>
      </c>
      <c r="J255">
        <v>55.22</v>
      </c>
      <c r="K255">
        <v>14.52</v>
      </c>
      <c r="L255">
        <v>65318.52</v>
      </c>
      <c r="M255">
        <v>60646.05</v>
      </c>
      <c r="N255">
        <v>6.8550000000000004</v>
      </c>
      <c r="O255">
        <v>6.7129999999999995E-2</v>
      </c>
      <c r="P255">
        <v>2.508</v>
      </c>
      <c r="Q255">
        <v>111.65</v>
      </c>
      <c r="R255">
        <v>18.39</v>
      </c>
      <c r="S255">
        <v>120.1</v>
      </c>
    </row>
    <row r="256" spans="1:19" x14ac:dyDescent="0.3">
      <c r="A256" s="2">
        <v>44279</v>
      </c>
      <c r="B256">
        <v>50.48</v>
      </c>
      <c r="C256">
        <v>67.69</v>
      </c>
      <c r="D256">
        <v>83.4</v>
      </c>
      <c r="E256">
        <v>96.48</v>
      </c>
      <c r="F256">
        <v>80.22</v>
      </c>
      <c r="G256">
        <v>61.18</v>
      </c>
      <c r="H256">
        <v>64.41</v>
      </c>
      <c r="I256">
        <v>64.5</v>
      </c>
      <c r="J256">
        <v>56.34</v>
      </c>
      <c r="K256">
        <v>14.3</v>
      </c>
      <c r="L256">
        <v>65257.09</v>
      </c>
      <c r="M256">
        <v>60444.28</v>
      </c>
      <c r="N256">
        <v>6.8550000000000004</v>
      </c>
      <c r="O256">
        <v>6.6710000000000005E-2</v>
      </c>
      <c r="P256">
        <v>2.5179999999999998</v>
      </c>
      <c r="Q256">
        <v>112.61</v>
      </c>
      <c r="R256">
        <v>18.59</v>
      </c>
      <c r="S256">
        <v>116.62</v>
      </c>
    </row>
    <row r="257" spans="1:19" x14ac:dyDescent="0.3">
      <c r="A257" s="2">
        <v>44280</v>
      </c>
      <c r="B257">
        <v>50.48</v>
      </c>
      <c r="C257">
        <v>67.69</v>
      </c>
      <c r="D257">
        <v>83.4</v>
      </c>
      <c r="E257">
        <v>96.48</v>
      </c>
      <c r="F257">
        <v>80.22</v>
      </c>
      <c r="G257">
        <v>58.56</v>
      </c>
      <c r="H257">
        <v>61.95</v>
      </c>
      <c r="I257">
        <v>64.05</v>
      </c>
      <c r="J257">
        <v>56.18</v>
      </c>
      <c r="K257">
        <v>14.4</v>
      </c>
      <c r="L257">
        <v>64783.62</v>
      </c>
      <c r="M257">
        <v>60996.95</v>
      </c>
      <c r="N257">
        <v>6.75</v>
      </c>
      <c r="O257">
        <v>6.651E-2</v>
      </c>
      <c r="P257">
        <v>2.57</v>
      </c>
      <c r="Q257">
        <v>112.28</v>
      </c>
      <c r="R257">
        <v>18.364999999999998</v>
      </c>
      <c r="S257">
        <v>110.95</v>
      </c>
    </row>
    <row r="258" spans="1:19" x14ac:dyDescent="0.3">
      <c r="A258" s="2">
        <v>44281</v>
      </c>
      <c r="B258">
        <v>49.07</v>
      </c>
      <c r="C258">
        <v>72.39</v>
      </c>
      <c r="D258">
        <v>87.65</v>
      </c>
      <c r="E258">
        <v>100.1</v>
      </c>
      <c r="F258">
        <v>81.08</v>
      </c>
      <c r="G258">
        <v>60.97</v>
      </c>
      <c r="H258">
        <v>64.569999999999993</v>
      </c>
      <c r="I258">
        <v>64.430000000000007</v>
      </c>
      <c r="J258">
        <v>57.71</v>
      </c>
      <c r="K258">
        <v>14.5</v>
      </c>
      <c r="L258">
        <v>66833.990000000005</v>
      </c>
      <c r="M258">
        <v>63089.9</v>
      </c>
      <c r="N258">
        <v>6.93</v>
      </c>
      <c r="O258">
        <v>6.6799999999999998E-2</v>
      </c>
      <c r="P258">
        <v>2.5569999999999999</v>
      </c>
      <c r="Q258">
        <v>113.64</v>
      </c>
      <c r="R258">
        <v>18.7</v>
      </c>
      <c r="S258">
        <v>113.08</v>
      </c>
    </row>
    <row r="259" spans="1:19" x14ac:dyDescent="0.3">
      <c r="A259" s="2">
        <v>44284</v>
      </c>
      <c r="B259">
        <v>49.07</v>
      </c>
      <c r="C259">
        <v>72.39</v>
      </c>
      <c r="D259">
        <v>87.65</v>
      </c>
      <c r="E259">
        <v>100.1</v>
      </c>
      <c r="F259">
        <v>81.08</v>
      </c>
      <c r="G259">
        <v>61.56</v>
      </c>
      <c r="H259">
        <v>64.98</v>
      </c>
      <c r="I259">
        <v>64.42</v>
      </c>
      <c r="J259">
        <v>57.4</v>
      </c>
      <c r="K259">
        <v>16</v>
      </c>
      <c r="L259">
        <v>67089.37</v>
      </c>
      <c r="M259">
        <v>62967.34</v>
      </c>
      <c r="N259">
        <v>6.8650000000000002</v>
      </c>
      <c r="O259">
        <v>6.7030000000000006E-2</v>
      </c>
      <c r="P259">
        <v>2.5859999999999999</v>
      </c>
      <c r="Q259">
        <v>113.28</v>
      </c>
      <c r="R259">
        <v>18.445</v>
      </c>
      <c r="S259">
        <v>141.61602674307539</v>
      </c>
    </row>
    <row r="260" spans="1:19" x14ac:dyDescent="0.3">
      <c r="A260" s="2">
        <v>44285</v>
      </c>
      <c r="B260">
        <v>49.07</v>
      </c>
      <c r="C260">
        <v>72.39</v>
      </c>
      <c r="D260">
        <v>87.65</v>
      </c>
      <c r="E260">
        <v>100.1</v>
      </c>
      <c r="F260">
        <v>81.08</v>
      </c>
      <c r="G260">
        <v>60.55</v>
      </c>
      <c r="H260">
        <v>64.14</v>
      </c>
      <c r="I260">
        <v>64.41</v>
      </c>
      <c r="J260">
        <v>56.69</v>
      </c>
      <c r="K260">
        <v>15.94</v>
      </c>
      <c r="L260">
        <v>67291.66</v>
      </c>
      <c r="M260">
        <v>62335.22</v>
      </c>
      <c r="N260">
        <v>6.9349999999999996</v>
      </c>
      <c r="O260">
        <v>6.6989999999999994E-2</v>
      </c>
      <c r="P260">
        <v>2.6230000000000002</v>
      </c>
      <c r="Q260">
        <v>111.23</v>
      </c>
      <c r="R260">
        <v>18.805</v>
      </c>
      <c r="S260">
        <v>113.77</v>
      </c>
    </row>
    <row r="261" spans="1:19" x14ac:dyDescent="0.3">
      <c r="A261" s="2">
        <v>44286</v>
      </c>
      <c r="B261">
        <v>49.07</v>
      </c>
      <c r="C261">
        <v>72.39</v>
      </c>
      <c r="D261">
        <v>87.65</v>
      </c>
      <c r="E261">
        <v>100.1</v>
      </c>
      <c r="F261">
        <v>81.08</v>
      </c>
      <c r="G261">
        <v>59.16</v>
      </c>
      <c r="H261">
        <v>63.54</v>
      </c>
      <c r="I261">
        <v>64.41</v>
      </c>
      <c r="J261">
        <v>55.83</v>
      </c>
      <c r="K261">
        <v>16.02</v>
      </c>
      <c r="L261">
        <v>66485.289999999994</v>
      </c>
      <c r="M261">
        <v>62657.36</v>
      </c>
      <c r="N261">
        <v>7.02</v>
      </c>
      <c r="O261">
        <v>6.7629999999999996E-2</v>
      </c>
      <c r="P261">
        <v>2.6080000000000001</v>
      </c>
      <c r="Q261">
        <v>111.68</v>
      </c>
      <c r="R261">
        <v>18.995000000000001</v>
      </c>
      <c r="S261">
        <v>110.93</v>
      </c>
    </row>
    <row r="262" spans="1:19" x14ac:dyDescent="0.3">
      <c r="A262" s="2">
        <v>44287</v>
      </c>
      <c r="B262">
        <v>50.24</v>
      </c>
      <c r="C262">
        <v>67.319999999999993</v>
      </c>
      <c r="D262">
        <v>82.07</v>
      </c>
      <c r="E262">
        <v>96.6</v>
      </c>
      <c r="F262">
        <v>81.41</v>
      </c>
      <c r="G262">
        <v>61.45</v>
      </c>
      <c r="H262">
        <v>64.86</v>
      </c>
      <c r="I262">
        <v>63.27</v>
      </c>
      <c r="J262">
        <v>57.39</v>
      </c>
      <c r="K262">
        <v>16.02</v>
      </c>
      <c r="L262">
        <v>67236.31</v>
      </c>
      <c r="M262">
        <v>64240.32</v>
      </c>
      <c r="N262">
        <v>6.9249999999999998</v>
      </c>
      <c r="O262">
        <v>6.8360000000000004E-2</v>
      </c>
      <c r="P262">
        <v>2.6389999999999998</v>
      </c>
      <c r="Q262">
        <v>114.2</v>
      </c>
      <c r="R262">
        <v>19.170000000000002</v>
      </c>
      <c r="S262">
        <v>115.68</v>
      </c>
    </row>
    <row r="263" spans="1:19" x14ac:dyDescent="0.3">
      <c r="A263" s="2">
        <v>44288</v>
      </c>
      <c r="B263">
        <v>87.953183520599239</v>
      </c>
      <c r="C263">
        <v>113.3531554307116</v>
      </c>
      <c r="D263">
        <v>134.97180711610491</v>
      </c>
      <c r="E263">
        <v>144.35149446494461</v>
      </c>
      <c r="F263">
        <v>123.75970973782771</v>
      </c>
      <c r="G263">
        <v>72.345468607825296</v>
      </c>
      <c r="H263">
        <v>76.283020072992699</v>
      </c>
      <c r="I263">
        <v>74.752492970946577</v>
      </c>
      <c r="J263">
        <v>80.871012183692585</v>
      </c>
      <c r="K263">
        <v>21.274702495201531</v>
      </c>
      <c r="L263">
        <v>68736.904810964072</v>
      </c>
      <c r="M263">
        <v>52972.178374291107</v>
      </c>
      <c r="N263">
        <v>17.62252908067542</v>
      </c>
      <c r="O263">
        <v>6.8140000000000006E-2</v>
      </c>
      <c r="P263">
        <v>3.697999090081892</v>
      </c>
      <c r="Q263">
        <v>112.7561105904405</v>
      </c>
      <c r="R263">
        <v>57.384855947955387</v>
      </c>
      <c r="S263">
        <v>141.61602674307539</v>
      </c>
    </row>
    <row r="264" spans="1:19" x14ac:dyDescent="0.3">
      <c r="A264" s="2">
        <v>44291</v>
      </c>
      <c r="B264">
        <v>87.953183520599239</v>
      </c>
      <c r="C264">
        <v>113.3531554307116</v>
      </c>
      <c r="D264">
        <v>134.97180711610491</v>
      </c>
      <c r="E264">
        <v>96.6</v>
      </c>
      <c r="F264">
        <v>123.75970973782771</v>
      </c>
      <c r="G264">
        <v>58.65</v>
      </c>
      <c r="H264">
        <v>62.15</v>
      </c>
      <c r="I264">
        <v>60.71</v>
      </c>
      <c r="J264">
        <v>56.5</v>
      </c>
      <c r="K264">
        <v>21.274702495201531</v>
      </c>
      <c r="L264">
        <v>68736.904810964072</v>
      </c>
      <c r="M264">
        <v>52972.178374291107</v>
      </c>
      <c r="N264">
        <v>6.9249999999999998</v>
      </c>
      <c r="O264">
        <v>6.8680000000000005E-2</v>
      </c>
      <c r="P264">
        <v>2.5110000000000001</v>
      </c>
      <c r="Q264">
        <v>115.11</v>
      </c>
      <c r="R264">
        <v>19.170000000000002</v>
      </c>
      <c r="S264">
        <v>113.87</v>
      </c>
    </row>
    <row r="265" spans="1:19" x14ac:dyDescent="0.3">
      <c r="A265" s="2">
        <v>44292</v>
      </c>
      <c r="B265">
        <v>50.24</v>
      </c>
      <c r="C265">
        <v>67.319999999999993</v>
      </c>
      <c r="D265">
        <v>82.07</v>
      </c>
      <c r="E265">
        <v>96.6</v>
      </c>
      <c r="F265">
        <v>81.41</v>
      </c>
      <c r="G265">
        <v>59.33</v>
      </c>
      <c r="H265">
        <v>62.74</v>
      </c>
      <c r="I265">
        <v>60.96</v>
      </c>
      <c r="J265">
        <v>56.34</v>
      </c>
      <c r="K265">
        <v>21.274702495201531</v>
      </c>
      <c r="L265">
        <v>68063.89</v>
      </c>
      <c r="M265">
        <v>66009.320000000007</v>
      </c>
      <c r="N265">
        <v>6.97</v>
      </c>
      <c r="O265">
        <v>6.8809999999999996E-2</v>
      </c>
      <c r="P265">
        <v>2.456</v>
      </c>
      <c r="Q265">
        <v>113.91</v>
      </c>
      <c r="R265">
        <v>19.78</v>
      </c>
      <c r="S265">
        <v>117.77</v>
      </c>
    </row>
    <row r="266" spans="1:19" x14ac:dyDescent="0.3">
      <c r="A266" s="2">
        <v>44293</v>
      </c>
      <c r="B266">
        <v>50.24</v>
      </c>
      <c r="C266">
        <v>67.319999999999993</v>
      </c>
      <c r="D266">
        <v>82.07</v>
      </c>
      <c r="E266">
        <v>96.6</v>
      </c>
      <c r="F266">
        <v>81.41</v>
      </c>
      <c r="G266">
        <v>59.77</v>
      </c>
      <c r="H266">
        <v>63.16</v>
      </c>
      <c r="I266">
        <v>61.46</v>
      </c>
      <c r="J266">
        <v>56.59</v>
      </c>
      <c r="K266">
        <v>15.94</v>
      </c>
      <c r="L266">
        <v>67160.42</v>
      </c>
      <c r="M266">
        <v>64805.49</v>
      </c>
      <c r="N266">
        <v>6.98</v>
      </c>
      <c r="O266">
        <v>6.8570000000000006E-2</v>
      </c>
      <c r="P266">
        <v>2.52</v>
      </c>
      <c r="Q266">
        <v>114.75</v>
      </c>
      <c r="R266">
        <v>19.285</v>
      </c>
      <c r="S266">
        <v>118.25</v>
      </c>
    </row>
    <row r="267" spans="1:19" x14ac:dyDescent="0.3">
      <c r="A267" s="2">
        <v>44294</v>
      </c>
      <c r="B267">
        <v>50.24</v>
      </c>
      <c r="C267">
        <v>67.319999999999993</v>
      </c>
      <c r="D267">
        <v>82.07</v>
      </c>
      <c r="E267">
        <v>96.6</v>
      </c>
      <c r="F267">
        <v>81.41</v>
      </c>
      <c r="G267">
        <v>59.6</v>
      </c>
      <c r="H267">
        <v>63.2</v>
      </c>
      <c r="I267">
        <v>61.47</v>
      </c>
      <c r="J267">
        <v>56</v>
      </c>
      <c r="K267">
        <v>15.9</v>
      </c>
      <c r="L267">
        <v>67053.97</v>
      </c>
      <c r="M267">
        <v>65114.63</v>
      </c>
      <c r="N267">
        <v>6.9850000000000003</v>
      </c>
      <c r="O267">
        <v>6.88E-2</v>
      </c>
      <c r="P267">
        <v>2.5219999999999998</v>
      </c>
      <c r="Q267">
        <v>116.04</v>
      </c>
      <c r="R267">
        <v>18.989999999999998</v>
      </c>
      <c r="S267">
        <v>117.18</v>
      </c>
    </row>
    <row r="268" spans="1:19" x14ac:dyDescent="0.3">
      <c r="A268" s="2">
        <v>44295</v>
      </c>
      <c r="B268">
        <v>49.82</v>
      </c>
      <c r="C268">
        <v>67.88</v>
      </c>
      <c r="D268">
        <v>82.89</v>
      </c>
      <c r="E268">
        <v>95.95</v>
      </c>
      <c r="F268">
        <v>81.99</v>
      </c>
      <c r="G268">
        <v>59.32</v>
      </c>
      <c r="H268">
        <v>62.95</v>
      </c>
      <c r="I268">
        <v>61.19</v>
      </c>
      <c r="J268">
        <v>55.87</v>
      </c>
      <c r="K268">
        <v>16</v>
      </c>
      <c r="L268">
        <v>67191.27</v>
      </c>
      <c r="M268">
        <v>64401.120000000003</v>
      </c>
      <c r="N268">
        <v>6.9850000000000003</v>
      </c>
      <c r="O268">
        <v>6.8430000000000005E-2</v>
      </c>
      <c r="P268">
        <v>2.5259999999999998</v>
      </c>
      <c r="Q268">
        <v>117.17</v>
      </c>
      <c r="R268">
        <v>18.940000000000001</v>
      </c>
      <c r="S268">
        <v>116.7</v>
      </c>
    </row>
    <row r="269" spans="1:19" x14ac:dyDescent="0.3">
      <c r="A269" s="2">
        <v>44298</v>
      </c>
      <c r="B269">
        <v>49.82</v>
      </c>
      <c r="C269">
        <v>67.88</v>
      </c>
      <c r="D269">
        <v>82.89</v>
      </c>
      <c r="E269">
        <v>95.95</v>
      </c>
      <c r="F269">
        <v>81.99</v>
      </c>
      <c r="G269">
        <v>59.7</v>
      </c>
      <c r="H269">
        <v>63.28</v>
      </c>
      <c r="I269">
        <v>61.3</v>
      </c>
      <c r="J269">
        <v>55.5</v>
      </c>
      <c r="K269">
        <v>16.02</v>
      </c>
      <c r="L269">
        <v>66390.02</v>
      </c>
      <c r="M269">
        <v>62513.22</v>
      </c>
      <c r="N269">
        <v>7.0049999999999999</v>
      </c>
      <c r="O269">
        <v>6.8589999999999998E-2</v>
      </c>
      <c r="P269">
        <v>2.5609999999999999</v>
      </c>
      <c r="Q269">
        <v>117.71</v>
      </c>
      <c r="R269">
        <v>19.649999999999999</v>
      </c>
      <c r="S269">
        <v>112.62</v>
      </c>
    </row>
    <row r="270" spans="1:19" x14ac:dyDescent="0.3">
      <c r="A270" s="2">
        <v>44299</v>
      </c>
      <c r="B270">
        <v>49.82</v>
      </c>
      <c r="C270">
        <v>67.88</v>
      </c>
      <c r="D270">
        <v>82.89</v>
      </c>
      <c r="E270">
        <v>95.95</v>
      </c>
      <c r="F270">
        <v>81.99</v>
      </c>
      <c r="G270">
        <v>60.18</v>
      </c>
      <c r="H270">
        <v>63.67</v>
      </c>
      <c r="I270">
        <v>61.53</v>
      </c>
      <c r="J270">
        <v>55.71</v>
      </c>
      <c r="K270">
        <v>16.02</v>
      </c>
      <c r="L270">
        <v>67072.490000000005</v>
      </c>
      <c r="M270">
        <v>63317.05</v>
      </c>
      <c r="N270">
        <v>7.0149999999999997</v>
      </c>
      <c r="O270">
        <v>6.8860000000000005E-2</v>
      </c>
      <c r="P270">
        <v>2.6190000000000002</v>
      </c>
      <c r="Q270">
        <v>118.72</v>
      </c>
      <c r="R270">
        <v>19.510000000000002</v>
      </c>
      <c r="S270">
        <v>112.35</v>
      </c>
    </row>
    <row r="271" spans="1:19" x14ac:dyDescent="0.3">
      <c r="A271" s="2">
        <v>44300</v>
      </c>
      <c r="B271">
        <v>49.82</v>
      </c>
      <c r="C271">
        <v>67.88</v>
      </c>
      <c r="D271">
        <v>82.89</v>
      </c>
      <c r="E271">
        <v>95.95</v>
      </c>
      <c r="F271">
        <v>81.99</v>
      </c>
      <c r="G271">
        <v>63.15</v>
      </c>
      <c r="H271">
        <v>66.58</v>
      </c>
      <c r="I271">
        <v>63.26</v>
      </c>
      <c r="J271">
        <v>57.32</v>
      </c>
      <c r="K271">
        <v>16.420000000000002</v>
      </c>
      <c r="L271">
        <v>67812.149999999994</v>
      </c>
      <c r="M271">
        <v>63141.38</v>
      </c>
      <c r="N271">
        <v>7.0149999999999997</v>
      </c>
      <c r="O271">
        <v>6.9430000000000006E-2</v>
      </c>
      <c r="P271">
        <v>2.6179999999999999</v>
      </c>
      <c r="Q271">
        <v>118.19</v>
      </c>
      <c r="R271">
        <v>19.68</v>
      </c>
      <c r="S271">
        <v>141.61602674307539</v>
      </c>
    </row>
    <row r="272" spans="1:19" x14ac:dyDescent="0.3">
      <c r="A272" s="2">
        <v>44301</v>
      </c>
      <c r="B272">
        <v>49.82</v>
      </c>
      <c r="C272">
        <v>67.88</v>
      </c>
      <c r="D272">
        <v>82.89</v>
      </c>
      <c r="E272">
        <v>95.95</v>
      </c>
      <c r="F272">
        <v>81.99</v>
      </c>
      <c r="G272">
        <v>63.46</v>
      </c>
      <c r="H272">
        <v>66.94</v>
      </c>
      <c r="I272">
        <v>63.48</v>
      </c>
      <c r="J272">
        <v>56.98</v>
      </c>
      <c r="K272">
        <v>16.38</v>
      </c>
      <c r="L272">
        <v>67823.09</v>
      </c>
      <c r="M272">
        <v>63456.71</v>
      </c>
      <c r="N272">
        <v>7.0170000000000003</v>
      </c>
      <c r="O272">
        <v>7.0569999999999994E-2</v>
      </c>
      <c r="P272">
        <v>2.6579999999999999</v>
      </c>
      <c r="Q272">
        <v>119.86</v>
      </c>
      <c r="R272">
        <v>20.260000000000002</v>
      </c>
      <c r="S272">
        <v>112.02</v>
      </c>
    </row>
    <row r="273" spans="1:19" x14ac:dyDescent="0.3">
      <c r="A273" s="2">
        <v>44302</v>
      </c>
      <c r="B273">
        <v>48.63</v>
      </c>
      <c r="C273">
        <v>65.73</v>
      </c>
      <c r="D273">
        <v>82.91</v>
      </c>
      <c r="E273">
        <v>89.92</v>
      </c>
      <c r="F273">
        <v>78.66</v>
      </c>
      <c r="G273">
        <v>63.13</v>
      </c>
      <c r="H273">
        <v>66.77</v>
      </c>
      <c r="I273">
        <v>63.42</v>
      </c>
      <c r="J273">
        <v>56.66</v>
      </c>
      <c r="K273">
        <v>16.600000000000001</v>
      </c>
      <c r="L273">
        <v>68698.78</v>
      </c>
      <c r="M273">
        <v>65518.14</v>
      </c>
      <c r="N273">
        <v>8.2449999999999992</v>
      </c>
      <c r="O273">
        <v>6.9800000000000001E-2</v>
      </c>
      <c r="P273">
        <v>2.68</v>
      </c>
      <c r="Q273">
        <v>120.73</v>
      </c>
      <c r="R273">
        <v>20.54</v>
      </c>
      <c r="S273">
        <v>115.13</v>
      </c>
    </row>
    <row r="274" spans="1:19" x14ac:dyDescent="0.3">
      <c r="A274" s="2">
        <v>44305</v>
      </c>
      <c r="B274">
        <v>48.63</v>
      </c>
      <c r="C274">
        <v>65.73</v>
      </c>
      <c r="D274">
        <v>82.91</v>
      </c>
      <c r="E274">
        <v>89.92</v>
      </c>
      <c r="F274">
        <v>78.66</v>
      </c>
      <c r="G274">
        <v>63.38</v>
      </c>
      <c r="H274">
        <v>67.05</v>
      </c>
      <c r="I274">
        <v>63.47</v>
      </c>
      <c r="J274">
        <v>56.48</v>
      </c>
      <c r="K274">
        <v>16.48</v>
      </c>
      <c r="L274">
        <v>68094.28</v>
      </c>
      <c r="M274">
        <v>64250.42</v>
      </c>
      <c r="N274">
        <v>8.6649999999999991</v>
      </c>
      <c r="O274">
        <v>7.0279999999999995E-2</v>
      </c>
      <c r="P274">
        <v>2.7490000000000001</v>
      </c>
      <c r="Q274">
        <v>119.74</v>
      </c>
      <c r="R274">
        <v>20.94</v>
      </c>
      <c r="S274">
        <v>117.45</v>
      </c>
    </row>
    <row r="275" spans="1:19" x14ac:dyDescent="0.3">
      <c r="A275" s="2">
        <v>44306</v>
      </c>
      <c r="B275">
        <v>48.63</v>
      </c>
      <c r="C275">
        <v>65.73</v>
      </c>
      <c r="D275">
        <v>82.91</v>
      </c>
      <c r="E275">
        <v>89.92</v>
      </c>
      <c r="F275">
        <v>78.66</v>
      </c>
      <c r="G275">
        <v>62.44</v>
      </c>
      <c r="H275">
        <v>66.569999999999993</v>
      </c>
      <c r="I275">
        <v>63.23</v>
      </c>
      <c r="J275">
        <v>55.29</v>
      </c>
      <c r="K275">
        <v>16.46</v>
      </c>
      <c r="L275">
        <v>66835.520000000004</v>
      </c>
      <c r="M275">
        <v>63774.84</v>
      </c>
      <c r="N275">
        <v>8.65</v>
      </c>
      <c r="O275">
        <v>6.9849999999999995E-2</v>
      </c>
      <c r="P275">
        <v>2.7269999999999999</v>
      </c>
      <c r="Q275">
        <v>119.76</v>
      </c>
      <c r="R275">
        <v>21.065000000000001</v>
      </c>
      <c r="S275">
        <v>117.6</v>
      </c>
    </row>
    <row r="276" spans="1:19" x14ac:dyDescent="0.3">
      <c r="A276" s="2">
        <v>44307</v>
      </c>
      <c r="B276">
        <v>48.63</v>
      </c>
      <c r="C276">
        <v>65.73</v>
      </c>
      <c r="D276">
        <v>82.91</v>
      </c>
      <c r="E276">
        <v>89.92</v>
      </c>
      <c r="F276">
        <v>78.66</v>
      </c>
      <c r="G276">
        <v>61.35</v>
      </c>
      <c r="H276">
        <v>65.319999999999993</v>
      </c>
      <c r="I276">
        <v>62.71</v>
      </c>
      <c r="J276">
        <v>56</v>
      </c>
      <c r="K276">
        <v>16.36</v>
      </c>
      <c r="L276">
        <v>67145.75</v>
      </c>
      <c r="M276">
        <v>65801.34</v>
      </c>
      <c r="N276">
        <v>8.5500000000000007</v>
      </c>
      <c r="O276">
        <v>7.0150000000000004E-2</v>
      </c>
      <c r="P276">
        <v>2.6920000000000002</v>
      </c>
      <c r="Q276">
        <v>119.53</v>
      </c>
      <c r="R276">
        <v>21.11</v>
      </c>
      <c r="S276">
        <v>141.61602674307539</v>
      </c>
    </row>
    <row r="277" spans="1:19" x14ac:dyDescent="0.3">
      <c r="A277" s="2">
        <v>44308</v>
      </c>
      <c r="B277">
        <v>48.63</v>
      </c>
      <c r="C277">
        <v>65.73</v>
      </c>
      <c r="D277">
        <v>82.91</v>
      </c>
      <c r="E277">
        <v>89.92</v>
      </c>
      <c r="F277">
        <v>78.66</v>
      </c>
      <c r="G277">
        <v>61.43</v>
      </c>
      <c r="H277">
        <v>65.400000000000006</v>
      </c>
      <c r="I277">
        <v>62.68</v>
      </c>
      <c r="J277">
        <v>55.27</v>
      </c>
      <c r="K277">
        <v>16.559999999999999</v>
      </c>
      <c r="L277">
        <v>66971.59</v>
      </c>
      <c r="M277">
        <v>64550.22</v>
      </c>
      <c r="N277">
        <v>8.5500000000000007</v>
      </c>
      <c r="O277">
        <v>6.9870000000000002E-2</v>
      </c>
      <c r="P277">
        <v>2.7490000000000001</v>
      </c>
      <c r="Q277">
        <v>119.84</v>
      </c>
      <c r="R277">
        <v>21.37</v>
      </c>
      <c r="S277">
        <v>119.98</v>
      </c>
    </row>
    <row r="278" spans="1:19" x14ac:dyDescent="0.3">
      <c r="A278" s="2">
        <v>44309</v>
      </c>
      <c r="B278">
        <v>48.78</v>
      </c>
      <c r="C278">
        <v>65.599999999999994</v>
      </c>
      <c r="D278">
        <v>81.430000000000007</v>
      </c>
      <c r="E278">
        <v>90.72</v>
      </c>
      <c r="F278">
        <v>82.38</v>
      </c>
      <c r="G278">
        <v>62.14</v>
      </c>
      <c r="H278">
        <v>66.11</v>
      </c>
      <c r="I278">
        <v>62.8</v>
      </c>
      <c r="J278">
        <v>55.57</v>
      </c>
      <c r="K278">
        <v>16.54</v>
      </c>
      <c r="L278">
        <v>67295.740000000005</v>
      </c>
      <c r="M278">
        <v>64272.27</v>
      </c>
      <c r="N278">
        <v>8.1999999999999993</v>
      </c>
      <c r="O278">
        <v>6.9959999999999994E-2</v>
      </c>
      <c r="P278">
        <v>2.73</v>
      </c>
      <c r="Q278">
        <v>121.27</v>
      </c>
      <c r="R278">
        <v>20.045000000000002</v>
      </c>
      <c r="S278">
        <v>119.23</v>
      </c>
    </row>
    <row r="279" spans="1:19" x14ac:dyDescent="0.3">
      <c r="A279" s="2">
        <v>44312</v>
      </c>
      <c r="B279">
        <v>48.78</v>
      </c>
      <c r="C279">
        <v>65.599999999999994</v>
      </c>
      <c r="D279">
        <v>81.430000000000007</v>
      </c>
      <c r="E279">
        <v>90.72</v>
      </c>
      <c r="F279">
        <v>82.38</v>
      </c>
      <c r="G279">
        <v>61.91</v>
      </c>
      <c r="H279">
        <v>65.650000000000006</v>
      </c>
      <c r="I279">
        <v>62.62</v>
      </c>
      <c r="J279">
        <v>55.68</v>
      </c>
      <c r="K279">
        <v>16.2</v>
      </c>
      <c r="L279">
        <v>67572.58</v>
      </c>
      <c r="M279">
        <v>63681.25</v>
      </c>
      <c r="N279">
        <v>8.25</v>
      </c>
      <c r="O279">
        <v>6.9989999999999997E-2</v>
      </c>
      <c r="P279">
        <v>2.79</v>
      </c>
      <c r="Q279">
        <v>120.86</v>
      </c>
      <c r="R279">
        <v>20</v>
      </c>
      <c r="S279">
        <v>125.33</v>
      </c>
    </row>
    <row r="280" spans="1:19" x14ac:dyDescent="0.3">
      <c r="A280" s="2">
        <v>44313</v>
      </c>
      <c r="B280">
        <v>48.78</v>
      </c>
      <c r="C280">
        <v>65.599999999999994</v>
      </c>
      <c r="D280">
        <v>81.430000000000007</v>
      </c>
      <c r="E280">
        <v>90.72</v>
      </c>
      <c r="F280">
        <v>82.38</v>
      </c>
      <c r="G280">
        <v>62.94</v>
      </c>
      <c r="H280">
        <v>66.42</v>
      </c>
      <c r="I280">
        <v>62.75</v>
      </c>
      <c r="J280">
        <v>56.41</v>
      </c>
      <c r="K280">
        <v>16.12</v>
      </c>
      <c r="L280">
        <v>68736.904810964072</v>
      </c>
      <c r="M280">
        <v>52972.178374291107</v>
      </c>
      <c r="N280">
        <v>8.6</v>
      </c>
      <c r="O280">
        <v>6.9650000000000004E-2</v>
      </c>
      <c r="P280">
        <v>2.8730000000000002</v>
      </c>
      <c r="Q280">
        <v>121.23</v>
      </c>
      <c r="R280">
        <v>21.405000000000001</v>
      </c>
      <c r="S280">
        <v>125.47</v>
      </c>
    </row>
    <row r="281" spans="1:19" x14ac:dyDescent="0.3">
      <c r="A281" s="2">
        <v>44314</v>
      </c>
      <c r="B281">
        <v>48.78</v>
      </c>
      <c r="C281">
        <v>65.599999999999994</v>
      </c>
      <c r="D281">
        <v>81.430000000000007</v>
      </c>
      <c r="E281">
        <v>90.72</v>
      </c>
      <c r="F281">
        <v>82.38</v>
      </c>
      <c r="G281">
        <v>63.86</v>
      </c>
      <c r="H281">
        <v>67.27</v>
      </c>
      <c r="I281">
        <v>62.81</v>
      </c>
      <c r="J281">
        <v>58.11</v>
      </c>
      <c r="K281">
        <v>16.2</v>
      </c>
      <c r="L281">
        <v>67740.11</v>
      </c>
      <c r="M281">
        <v>62994.3</v>
      </c>
      <c r="N281">
        <v>8.6</v>
      </c>
      <c r="O281">
        <v>7.0209999999999995E-2</v>
      </c>
      <c r="P281">
        <v>2.9249999999999998</v>
      </c>
      <c r="Q281">
        <v>119.07</v>
      </c>
      <c r="R281">
        <v>21.555</v>
      </c>
      <c r="S281">
        <v>123.37</v>
      </c>
    </row>
    <row r="282" spans="1:19" x14ac:dyDescent="0.3">
      <c r="A282" s="2">
        <v>44315</v>
      </c>
      <c r="B282">
        <v>48.78</v>
      </c>
      <c r="C282">
        <v>65.599999999999994</v>
      </c>
      <c r="D282">
        <v>81.430000000000007</v>
      </c>
      <c r="E282">
        <v>90.72</v>
      </c>
      <c r="F282">
        <v>82.38</v>
      </c>
      <c r="G282">
        <v>65.010000000000005</v>
      </c>
      <c r="H282">
        <v>68.56</v>
      </c>
      <c r="I282">
        <v>62.9</v>
      </c>
      <c r="J282">
        <v>58.94</v>
      </c>
      <c r="K282">
        <v>16.579999999999998</v>
      </c>
      <c r="L282">
        <v>67392.73</v>
      </c>
      <c r="M282">
        <v>62207.06</v>
      </c>
      <c r="N282">
        <v>8.8000000000000007</v>
      </c>
      <c r="O282">
        <v>6.9849999999999995E-2</v>
      </c>
      <c r="P282">
        <v>2.911</v>
      </c>
      <c r="Q282">
        <v>117.68</v>
      </c>
      <c r="R282">
        <v>22.5</v>
      </c>
      <c r="S282">
        <v>125.18</v>
      </c>
    </row>
    <row r="283" spans="1:19" x14ac:dyDescent="0.3">
      <c r="A283" s="2">
        <v>44316</v>
      </c>
      <c r="B283">
        <v>47.25</v>
      </c>
      <c r="C283">
        <v>66.38</v>
      </c>
      <c r="D283">
        <v>81.81</v>
      </c>
      <c r="E283">
        <v>93.14</v>
      </c>
      <c r="F283">
        <v>81.03</v>
      </c>
      <c r="G283">
        <v>63.58</v>
      </c>
      <c r="H283">
        <v>67.25</v>
      </c>
      <c r="I283">
        <v>62.89</v>
      </c>
      <c r="J283">
        <v>57.24</v>
      </c>
      <c r="K283">
        <v>16.2</v>
      </c>
      <c r="L283">
        <v>66937</v>
      </c>
      <c r="M283">
        <v>61780.68</v>
      </c>
      <c r="N283">
        <v>8.8949999999999996</v>
      </c>
      <c r="O283">
        <v>6.8919999999999995E-2</v>
      </c>
      <c r="P283">
        <v>2.931</v>
      </c>
      <c r="Q283">
        <v>117.71</v>
      </c>
      <c r="R283">
        <v>23.285</v>
      </c>
      <c r="S283">
        <v>123.45</v>
      </c>
    </row>
    <row r="284" spans="1:19" x14ac:dyDescent="0.3">
      <c r="A284" s="2">
        <v>44319</v>
      </c>
      <c r="B284">
        <v>87.953183520599239</v>
      </c>
      <c r="C284">
        <v>113.3531554307116</v>
      </c>
      <c r="D284">
        <v>134.97180711610491</v>
      </c>
      <c r="E284">
        <v>93.14</v>
      </c>
      <c r="F284">
        <v>123.75970973782771</v>
      </c>
      <c r="G284">
        <v>64.489999999999995</v>
      </c>
      <c r="H284">
        <v>67.56</v>
      </c>
      <c r="I284">
        <v>65.03</v>
      </c>
      <c r="J284">
        <v>58.82</v>
      </c>
      <c r="K284">
        <v>16.2</v>
      </c>
      <c r="L284">
        <v>66586.240000000005</v>
      </c>
      <c r="M284">
        <v>62537.93</v>
      </c>
      <c r="N284">
        <v>8.9049999999999994</v>
      </c>
      <c r="O284">
        <v>6.9409999999999999E-2</v>
      </c>
      <c r="P284">
        <v>2.9660000000000002</v>
      </c>
      <c r="Q284">
        <v>115.46</v>
      </c>
      <c r="R284">
        <v>23.815000000000001</v>
      </c>
      <c r="S284">
        <v>126.35</v>
      </c>
    </row>
    <row r="285" spans="1:19" x14ac:dyDescent="0.3">
      <c r="A285" s="2">
        <v>44320</v>
      </c>
      <c r="B285">
        <v>47.25</v>
      </c>
      <c r="C285">
        <v>66.38</v>
      </c>
      <c r="D285">
        <v>81.81</v>
      </c>
      <c r="E285">
        <v>93.14</v>
      </c>
      <c r="F285">
        <v>81.03</v>
      </c>
      <c r="G285">
        <v>65.69</v>
      </c>
      <c r="H285">
        <v>68.88</v>
      </c>
      <c r="I285">
        <v>66.349999999999994</v>
      </c>
      <c r="J285">
        <v>59.19</v>
      </c>
      <c r="K285">
        <v>16.36</v>
      </c>
      <c r="L285">
        <v>66173.97</v>
      </c>
      <c r="M285">
        <v>61597.89</v>
      </c>
      <c r="N285">
        <v>9.0050000000000008</v>
      </c>
      <c r="O285">
        <v>6.9089999999999999E-2</v>
      </c>
      <c r="P285">
        <v>2.9670000000000001</v>
      </c>
      <c r="Q285">
        <v>114.54</v>
      </c>
      <c r="R285">
        <v>23.05</v>
      </c>
      <c r="S285">
        <v>127.35</v>
      </c>
    </row>
    <row r="286" spans="1:19" x14ac:dyDescent="0.3">
      <c r="A286" s="2">
        <v>44321</v>
      </c>
      <c r="B286">
        <v>47.25</v>
      </c>
      <c r="C286">
        <v>66.38</v>
      </c>
      <c r="D286">
        <v>81.81</v>
      </c>
      <c r="E286">
        <v>93.14</v>
      </c>
      <c r="F286">
        <v>81.03</v>
      </c>
      <c r="G286">
        <v>65.63</v>
      </c>
      <c r="H286">
        <v>68.959999999999994</v>
      </c>
      <c r="I286">
        <v>66.650000000000006</v>
      </c>
      <c r="J286">
        <v>60.97</v>
      </c>
      <c r="K286">
        <v>16.48</v>
      </c>
      <c r="L286">
        <v>67346.19</v>
      </c>
      <c r="M286">
        <v>61306.62</v>
      </c>
      <c r="N286">
        <v>8.9700000000000006</v>
      </c>
      <c r="O286">
        <v>6.9559999999999997E-2</v>
      </c>
      <c r="P286">
        <v>2.9380000000000002</v>
      </c>
      <c r="Q286">
        <v>114.72</v>
      </c>
      <c r="R286">
        <v>23.96</v>
      </c>
      <c r="S286">
        <v>128.80000000000001</v>
      </c>
    </row>
    <row r="287" spans="1:19" x14ac:dyDescent="0.3">
      <c r="A287" s="2">
        <v>44322</v>
      </c>
      <c r="B287">
        <v>47.25</v>
      </c>
      <c r="C287">
        <v>66.38</v>
      </c>
      <c r="D287">
        <v>81.81</v>
      </c>
      <c r="E287">
        <v>93.14</v>
      </c>
      <c r="F287">
        <v>81.03</v>
      </c>
      <c r="G287">
        <v>64.709999999999994</v>
      </c>
      <c r="H287">
        <v>68.09</v>
      </c>
      <c r="I287">
        <v>66.010000000000005</v>
      </c>
      <c r="J287">
        <v>61.55</v>
      </c>
      <c r="K287">
        <v>16.98</v>
      </c>
      <c r="L287">
        <v>67608.89</v>
      </c>
      <c r="M287">
        <v>61501.06</v>
      </c>
      <c r="N287">
        <v>9.06</v>
      </c>
      <c r="O287">
        <v>7.0309999999999997E-2</v>
      </c>
      <c r="P287">
        <v>2.9279999999999999</v>
      </c>
      <c r="Q287">
        <v>113.62</v>
      </c>
      <c r="R287">
        <v>24.33</v>
      </c>
      <c r="S287">
        <v>131.66999999999999</v>
      </c>
    </row>
    <row r="288" spans="1:19" x14ac:dyDescent="0.3">
      <c r="A288" s="2">
        <v>44323</v>
      </c>
      <c r="B288">
        <v>52.56</v>
      </c>
      <c r="C288">
        <v>70.27</v>
      </c>
      <c r="D288">
        <v>86.39</v>
      </c>
      <c r="E288">
        <v>100.49</v>
      </c>
      <c r="F288">
        <v>84.03</v>
      </c>
      <c r="G288">
        <v>64.900000000000006</v>
      </c>
      <c r="H288">
        <v>68.28</v>
      </c>
      <c r="I288">
        <v>66.150000000000006</v>
      </c>
      <c r="J288">
        <v>62.43</v>
      </c>
      <c r="K288">
        <v>17.2</v>
      </c>
      <c r="L288">
        <v>68519.53</v>
      </c>
      <c r="M288">
        <v>62717.07</v>
      </c>
      <c r="N288">
        <v>9.0449999999999999</v>
      </c>
      <c r="O288">
        <v>7.1099999999999997E-2</v>
      </c>
      <c r="P288">
        <v>2.9580000000000002</v>
      </c>
      <c r="Q288">
        <v>114.81</v>
      </c>
      <c r="R288">
        <v>23.94</v>
      </c>
      <c r="S288">
        <v>129.87</v>
      </c>
    </row>
    <row r="289" spans="1:19" x14ac:dyDescent="0.3">
      <c r="A289" s="2">
        <v>44326</v>
      </c>
      <c r="B289">
        <v>52.56</v>
      </c>
      <c r="C289">
        <v>70.27</v>
      </c>
      <c r="D289">
        <v>86.39</v>
      </c>
      <c r="E289">
        <v>100.49</v>
      </c>
      <c r="F289">
        <v>84.03</v>
      </c>
      <c r="G289">
        <v>64.92</v>
      </c>
      <c r="H289">
        <v>68.319999999999993</v>
      </c>
      <c r="I289">
        <v>66.2</v>
      </c>
      <c r="J289">
        <v>62.58</v>
      </c>
      <c r="K289">
        <v>18.16</v>
      </c>
      <c r="L289">
        <v>68377.23</v>
      </c>
      <c r="M289">
        <v>62540.13</v>
      </c>
      <c r="N289">
        <v>9.1199999999999992</v>
      </c>
      <c r="O289">
        <v>7.1150000000000005E-2</v>
      </c>
      <c r="P289">
        <v>2.9319999999999999</v>
      </c>
      <c r="Q289">
        <v>114.28</v>
      </c>
      <c r="R289">
        <v>25.19</v>
      </c>
      <c r="S289">
        <v>129.80000000000001</v>
      </c>
    </row>
    <row r="290" spans="1:19" x14ac:dyDescent="0.3">
      <c r="A290" s="2">
        <v>44327</v>
      </c>
      <c r="B290">
        <v>52.56</v>
      </c>
      <c r="C290">
        <v>70.27</v>
      </c>
      <c r="D290">
        <v>86.39</v>
      </c>
      <c r="E290">
        <v>100.49</v>
      </c>
      <c r="F290">
        <v>84.03</v>
      </c>
      <c r="G290">
        <v>65.28</v>
      </c>
      <c r="H290">
        <v>68.55</v>
      </c>
      <c r="I290">
        <v>66.319999999999993</v>
      </c>
      <c r="J290">
        <v>60.59</v>
      </c>
      <c r="K290">
        <v>17.8</v>
      </c>
      <c r="L290">
        <v>67241.2</v>
      </c>
      <c r="M290">
        <v>60938.02</v>
      </c>
      <c r="N290">
        <v>9.1150000000000002</v>
      </c>
      <c r="O290">
        <v>7.1379999999999999E-2</v>
      </c>
      <c r="P290">
        <v>2.9550000000000001</v>
      </c>
      <c r="Q290">
        <v>113.07</v>
      </c>
      <c r="R290">
        <v>25.805</v>
      </c>
      <c r="S290">
        <v>133.85</v>
      </c>
    </row>
    <row r="291" spans="1:19" x14ac:dyDescent="0.3">
      <c r="A291" s="2">
        <v>44328</v>
      </c>
      <c r="B291">
        <v>52.56</v>
      </c>
      <c r="C291">
        <v>70.27</v>
      </c>
      <c r="D291">
        <v>86.39</v>
      </c>
      <c r="E291">
        <v>100.49</v>
      </c>
      <c r="F291">
        <v>84.03</v>
      </c>
      <c r="G291">
        <v>66.08</v>
      </c>
      <c r="H291">
        <v>69.319999999999993</v>
      </c>
      <c r="I291">
        <v>66.77</v>
      </c>
      <c r="J291">
        <v>60.04</v>
      </c>
      <c r="K291">
        <v>18.079999999999998</v>
      </c>
      <c r="L291">
        <v>67424.27</v>
      </c>
      <c r="M291">
        <v>61297.23</v>
      </c>
      <c r="N291">
        <v>9.125</v>
      </c>
      <c r="O291">
        <v>7.0749999999999993E-2</v>
      </c>
      <c r="P291">
        <v>2.9689999999999999</v>
      </c>
      <c r="Q291">
        <v>111.46</v>
      </c>
      <c r="R291">
        <v>26.42</v>
      </c>
      <c r="S291">
        <v>132.63</v>
      </c>
    </row>
    <row r="292" spans="1:19" x14ac:dyDescent="0.3">
      <c r="A292" s="2">
        <v>44329</v>
      </c>
      <c r="B292">
        <v>52.56</v>
      </c>
      <c r="C292">
        <v>70.27</v>
      </c>
      <c r="D292">
        <v>86.39</v>
      </c>
      <c r="E292">
        <v>100.49</v>
      </c>
      <c r="F292">
        <v>84.03</v>
      </c>
      <c r="G292">
        <v>63.82</v>
      </c>
      <c r="H292">
        <v>67.05</v>
      </c>
      <c r="I292">
        <v>65.42</v>
      </c>
      <c r="J292">
        <v>59.3</v>
      </c>
      <c r="K292">
        <v>17.239999999999998</v>
      </c>
      <c r="L292">
        <v>66168.649999999994</v>
      </c>
      <c r="M292">
        <v>60187.040000000001</v>
      </c>
      <c r="N292">
        <v>9.125</v>
      </c>
      <c r="O292">
        <v>7.0809999999999998E-2</v>
      </c>
      <c r="P292">
        <v>2.9729999999999999</v>
      </c>
      <c r="Q292">
        <v>112.17</v>
      </c>
      <c r="R292">
        <v>26.25</v>
      </c>
      <c r="S292">
        <v>141.61602674307539</v>
      </c>
    </row>
    <row r="293" spans="1:19" x14ac:dyDescent="0.3">
      <c r="A293" s="2">
        <v>44330</v>
      </c>
      <c r="B293">
        <v>55.17</v>
      </c>
      <c r="C293">
        <v>74.66</v>
      </c>
      <c r="D293">
        <v>93.04</v>
      </c>
      <c r="E293">
        <v>103.85</v>
      </c>
      <c r="F293">
        <v>87.32</v>
      </c>
      <c r="G293">
        <v>65.37</v>
      </c>
      <c r="H293">
        <v>68.709999999999994</v>
      </c>
      <c r="I293">
        <v>66.33</v>
      </c>
      <c r="J293">
        <v>60.77</v>
      </c>
      <c r="K293">
        <v>17.22</v>
      </c>
      <c r="L293">
        <v>66598.13</v>
      </c>
      <c r="M293">
        <v>61294.89</v>
      </c>
      <c r="N293">
        <v>17.62252908067542</v>
      </c>
      <c r="O293">
        <v>7.0790000000000006E-2</v>
      </c>
      <c r="P293">
        <v>2.9609999999999999</v>
      </c>
      <c r="Q293">
        <v>113.26</v>
      </c>
      <c r="R293">
        <v>26.83</v>
      </c>
      <c r="S293">
        <v>124.45</v>
      </c>
    </row>
    <row r="294" spans="1:19" x14ac:dyDescent="0.3">
      <c r="A294" s="2">
        <v>44333</v>
      </c>
      <c r="B294">
        <v>55.17</v>
      </c>
      <c r="C294">
        <v>74.66</v>
      </c>
      <c r="D294">
        <v>93.04</v>
      </c>
      <c r="E294">
        <v>103.85</v>
      </c>
      <c r="F294">
        <v>87.32</v>
      </c>
      <c r="G294">
        <v>66.27</v>
      </c>
      <c r="H294">
        <v>69.459999999999994</v>
      </c>
      <c r="I294">
        <v>66.819999999999993</v>
      </c>
      <c r="J294">
        <v>62.19</v>
      </c>
      <c r="K294">
        <v>17.32</v>
      </c>
      <c r="L294">
        <v>67217.11</v>
      </c>
      <c r="M294">
        <v>63487.77</v>
      </c>
      <c r="N294">
        <v>10.33</v>
      </c>
      <c r="O294">
        <v>7.0809999999999998E-2</v>
      </c>
      <c r="P294">
        <v>3.109</v>
      </c>
      <c r="Q294">
        <v>112.47</v>
      </c>
      <c r="R294">
        <v>26.31</v>
      </c>
      <c r="S294">
        <v>123.77</v>
      </c>
    </row>
    <row r="295" spans="1:19" x14ac:dyDescent="0.3">
      <c r="A295" s="2">
        <v>44334</v>
      </c>
      <c r="B295">
        <v>55.17</v>
      </c>
      <c r="C295">
        <v>74.66</v>
      </c>
      <c r="D295">
        <v>93.04</v>
      </c>
      <c r="E295">
        <v>103.85</v>
      </c>
      <c r="F295">
        <v>87.32</v>
      </c>
      <c r="G295">
        <v>65.489999999999995</v>
      </c>
      <c r="H295">
        <v>68.709999999999994</v>
      </c>
      <c r="I295">
        <v>66.64</v>
      </c>
      <c r="J295">
        <v>60.43</v>
      </c>
      <c r="K295">
        <v>17.7</v>
      </c>
      <c r="L295">
        <v>67254.92</v>
      </c>
      <c r="M295">
        <v>64163.040000000001</v>
      </c>
      <c r="N295">
        <v>9.99</v>
      </c>
      <c r="O295">
        <v>7.1419999999999997E-2</v>
      </c>
      <c r="P295">
        <v>3.012</v>
      </c>
      <c r="Q295">
        <v>110.76</v>
      </c>
      <c r="R295">
        <v>24.81</v>
      </c>
      <c r="S295">
        <v>125.62</v>
      </c>
    </row>
    <row r="296" spans="1:19" x14ac:dyDescent="0.3">
      <c r="A296" s="2">
        <v>44335</v>
      </c>
      <c r="B296">
        <v>55.17</v>
      </c>
      <c r="C296">
        <v>74.66</v>
      </c>
      <c r="D296">
        <v>93.04</v>
      </c>
      <c r="E296">
        <v>103.85</v>
      </c>
      <c r="F296">
        <v>87.32</v>
      </c>
      <c r="G296">
        <v>63.36</v>
      </c>
      <c r="H296">
        <v>66.66</v>
      </c>
      <c r="I296">
        <v>65.92</v>
      </c>
      <c r="J296">
        <v>58.98</v>
      </c>
      <c r="K296">
        <v>21.274702495201531</v>
      </c>
      <c r="L296">
        <v>65855.81</v>
      </c>
      <c r="M296">
        <v>62509.45</v>
      </c>
      <c r="N296">
        <v>9.4700000000000006</v>
      </c>
      <c r="O296">
        <v>7.084E-2</v>
      </c>
      <c r="P296">
        <v>2.964</v>
      </c>
      <c r="Q296">
        <v>110.74</v>
      </c>
      <c r="R296">
        <v>22.664999999999999</v>
      </c>
      <c r="S296">
        <v>127.27</v>
      </c>
    </row>
    <row r="297" spans="1:19" x14ac:dyDescent="0.3">
      <c r="A297" s="2">
        <v>44336</v>
      </c>
      <c r="B297">
        <v>55.17</v>
      </c>
      <c r="C297">
        <v>74.66</v>
      </c>
      <c r="D297">
        <v>93.04</v>
      </c>
      <c r="E297">
        <v>103.85</v>
      </c>
      <c r="F297">
        <v>87.32</v>
      </c>
      <c r="G297">
        <v>62.05</v>
      </c>
      <c r="H297">
        <v>65.11</v>
      </c>
      <c r="I297">
        <v>65.39</v>
      </c>
      <c r="J297">
        <v>58.84</v>
      </c>
      <c r="K297">
        <v>16.84</v>
      </c>
      <c r="L297">
        <v>66124.44</v>
      </c>
      <c r="M297">
        <v>62653.04</v>
      </c>
      <c r="N297">
        <v>10.050000000000001</v>
      </c>
      <c r="O297">
        <v>7.1510000000000004E-2</v>
      </c>
      <c r="P297">
        <v>2.9249999999999998</v>
      </c>
      <c r="Q297">
        <v>111.96</v>
      </c>
      <c r="R297">
        <v>24.684999999999999</v>
      </c>
      <c r="S297">
        <v>120.38</v>
      </c>
    </row>
    <row r="298" spans="1:19" x14ac:dyDescent="0.3">
      <c r="A298" s="2">
        <v>44337</v>
      </c>
      <c r="B298">
        <v>57.22</v>
      </c>
      <c r="C298">
        <v>76.72</v>
      </c>
      <c r="D298">
        <v>91.69</v>
      </c>
      <c r="E298">
        <v>105.4</v>
      </c>
      <c r="F298">
        <v>88.39</v>
      </c>
      <c r="G298">
        <v>63.58</v>
      </c>
      <c r="H298">
        <v>66.44</v>
      </c>
      <c r="I298">
        <v>65.73</v>
      </c>
      <c r="J298">
        <v>58.92</v>
      </c>
      <c r="K298">
        <v>17.059999999999999</v>
      </c>
      <c r="L298">
        <v>66238.929999999993</v>
      </c>
      <c r="M298">
        <v>61719.83</v>
      </c>
      <c r="N298">
        <v>9.98</v>
      </c>
      <c r="O298">
        <v>7.1580000000000005E-2</v>
      </c>
      <c r="P298">
        <v>2.9060000000000001</v>
      </c>
      <c r="Q298">
        <v>113.16</v>
      </c>
      <c r="R298">
        <v>24.795000000000002</v>
      </c>
      <c r="S298">
        <v>124.07</v>
      </c>
    </row>
    <row r="299" spans="1:19" x14ac:dyDescent="0.3">
      <c r="A299" s="2">
        <v>44340</v>
      </c>
      <c r="B299">
        <v>57.22</v>
      </c>
      <c r="C299">
        <v>76.72</v>
      </c>
      <c r="D299">
        <v>91.69</v>
      </c>
      <c r="E299">
        <v>105.4</v>
      </c>
      <c r="F299">
        <v>88.39</v>
      </c>
      <c r="G299">
        <v>66.05</v>
      </c>
      <c r="H299">
        <v>68.459999999999994</v>
      </c>
      <c r="I299">
        <v>66.260000000000005</v>
      </c>
      <c r="J299">
        <v>59.61</v>
      </c>
      <c r="K299">
        <v>16.940000000000001</v>
      </c>
      <c r="L299">
        <v>66054.92</v>
      </c>
      <c r="M299">
        <v>60580.76</v>
      </c>
      <c r="N299">
        <v>10.074999999999999</v>
      </c>
      <c r="O299">
        <v>7.177E-2</v>
      </c>
      <c r="P299">
        <v>2.8860000000000001</v>
      </c>
      <c r="Q299">
        <v>112.97</v>
      </c>
      <c r="R299">
        <v>24.76</v>
      </c>
      <c r="S299">
        <v>122.4</v>
      </c>
    </row>
    <row r="300" spans="1:19" x14ac:dyDescent="0.3">
      <c r="A300" s="2">
        <v>44341</v>
      </c>
      <c r="B300">
        <v>57.22</v>
      </c>
      <c r="C300">
        <v>76.72</v>
      </c>
      <c r="D300">
        <v>91.69</v>
      </c>
      <c r="E300">
        <v>105.4</v>
      </c>
      <c r="F300">
        <v>88.39</v>
      </c>
      <c r="G300">
        <v>66.069999999999993</v>
      </c>
      <c r="H300">
        <v>68.650000000000006</v>
      </c>
      <c r="I300">
        <v>66.3</v>
      </c>
      <c r="J300">
        <v>58.26</v>
      </c>
      <c r="K300">
        <v>17.2</v>
      </c>
      <c r="L300">
        <v>66076.679999999993</v>
      </c>
      <c r="M300">
        <v>60346.74</v>
      </c>
      <c r="N300">
        <v>10.6</v>
      </c>
      <c r="O300">
        <v>7.2099999999999997E-2</v>
      </c>
      <c r="P300">
        <v>2.9129999999999998</v>
      </c>
      <c r="Q300">
        <v>112.38</v>
      </c>
      <c r="R300">
        <v>26.19</v>
      </c>
      <c r="S300">
        <v>120.02</v>
      </c>
    </row>
    <row r="301" spans="1:19" x14ac:dyDescent="0.3">
      <c r="A301" s="2">
        <v>44342</v>
      </c>
      <c r="B301">
        <v>57.22</v>
      </c>
      <c r="C301">
        <v>76.72</v>
      </c>
      <c r="D301">
        <v>91.69</v>
      </c>
      <c r="E301">
        <v>105.4</v>
      </c>
      <c r="F301">
        <v>88.39</v>
      </c>
      <c r="G301">
        <v>66.209999999999994</v>
      </c>
      <c r="H301">
        <v>68.87</v>
      </c>
      <c r="I301">
        <v>66.33</v>
      </c>
      <c r="J301">
        <v>58.94</v>
      </c>
      <c r="K301">
        <v>17</v>
      </c>
      <c r="L301">
        <v>66108.23</v>
      </c>
      <c r="M301">
        <v>59503.5</v>
      </c>
      <c r="N301">
        <v>10.625</v>
      </c>
      <c r="O301">
        <v>7.2569999999999996E-2</v>
      </c>
      <c r="P301">
        <v>2.984</v>
      </c>
      <c r="Q301">
        <v>112.37</v>
      </c>
      <c r="R301">
        <v>26.425000000000001</v>
      </c>
      <c r="S301">
        <v>118.82</v>
      </c>
    </row>
    <row r="302" spans="1:19" x14ac:dyDescent="0.3">
      <c r="A302" s="2">
        <v>44343</v>
      </c>
      <c r="B302">
        <v>57.22</v>
      </c>
      <c r="C302">
        <v>76.72</v>
      </c>
      <c r="D302">
        <v>91.69</v>
      </c>
      <c r="E302">
        <v>105.4</v>
      </c>
      <c r="F302">
        <v>88.39</v>
      </c>
      <c r="G302">
        <v>66.849999999999994</v>
      </c>
      <c r="H302">
        <v>69.459999999999994</v>
      </c>
      <c r="I302">
        <v>66.319999999999993</v>
      </c>
      <c r="J302">
        <v>58.56</v>
      </c>
      <c r="K302">
        <v>16.98</v>
      </c>
      <c r="L302">
        <v>66940.25</v>
      </c>
      <c r="M302">
        <v>60623.040000000001</v>
      </c>
      <c r="N302">
        <v>10.375</v>
      </c>
      <c r="O302">
        <v>7.2639999999999996E-2</v>
      </c>
      <c r="P302">
        <v>2.9580000000000002</v>
      </c>
      <c r="Q302">
        <v>112.02</v>
      </c>
      <c r="R302">
        <v>25.2</v>
      </c>
      <c r="S302">
        <v>117.55</v>
      </c>
    </row>
    <row r="303" spans="1:19" x14ac:dyDescent="0.3">
      <c r="A303" s="2">
        <v>44344</v>
      </c>
      <c r="B303">
        <v>59.18</v>
      </c>
      <c r="C303">
        <v>78.599999999999994</v>
      </c>
      <c r="D303">
        <v>94.65</v>
      </c>
      <c r="E303">
        <v>112.1</v>
      </c>
      <c r="F303">
        <v>92.26</v>
      </c>
      <c r="G303">
        <v>66.319999999999993</v>
      </c>
      <c r="H303">
        <v>69.63</v>
      </c>
      <c r="I303">
        <v>66.28</v>
      </c>
      <c r="J303">
        <v>58.37</v>
      </c>
      <c r="K303">
        <v>17.14</v>
      </c>
      <c r="L303">
        <v>67554.86</v>
      </c>
      <c r="M303">
        <v>60174.42</v>
      </c>
      <c r="N303">
        <v>10.4</v>
      </c>
      <c r="O303">
        <v>7.2609999999999994E-2</v>
      </c>
      <c r="P303">
        <v>2.9860000000000002</v>
      </c>
      <c r="Q303">
        <v>112.88</v>
      </c>
      <c r="R303">
        <v>24.93</v>
      </c>
      <c r="S303">
        <v>120.42</v>
      </c>
    </row>
    <row r="304" spans="1:19" x14ac:dyDescent="0.3">
      <c r="A304" s="2">
        <v>44347</v>
      </c>
      <c r="B304">
        <v>87.953183520599239</v>
      </c>
      <c r="C304">
        <v>113.3531554307116</v>
      </c>
      <c r="D304">
        <v>134.97180711610491</v>
      </c>
      <c r="E304">
        <v>112.1</v>
      </c>
      <c r="F304">
        <v>123.75970973782771</v>
      </c>
      <c r="G304">
        <v>66.959999999999994</v>
      </c>
      <c r="H304">
        <v>69.319999999999993</v>
      </c>
      <c r="I304">
        <v>74.752492970946577</v>
      </c>
      <c r="J304">
        <v>80.871012183692585</v>
      </c>
      <c r="K304">
        <v>17.579999999999998</v>
      </c>
      <c r="L304">
        <v>67964.039999999994</v>
      </c>
      <c r="M304">
        <v>62728.46</v>
      </c>
      <c r="N304">
        <v>17.62252908067542</v>
      </c>
      <c r="O304">
        <v>7.2770000000000001E-2</v>
      </c>
      <c r="P304">
        <v>3.0550000000000002</v>
      </c>
      <c r="Q304">
        <v>112.7561105904405</v>
      </c>
      <c r="R304">
        <v>57.384855947955387</v>
      </c>
      <c r="S304">
        <v>119.15</v>
      </c>
    </row>
    <row r="305" spans="1:19" x14ac:dyDescent="0.3">
      <c r="A305" s="2">
        <v>44348</v>
      </c>
      <c r="B305">
        <v>59.18</v>
      </c>
      <c r="C305">
        <v>78.599999999999994</v>
      </c>
      <c r="D305">
        <v>94.65</v>
      </c>
      <c r="E305">
        <v>112.1</v>
      </c>
      <c r="F305">
        <v>92.26</v>
      </c>
      <c r="G305">
        <v>67.72</v>
      </c>
      <c r="H305">
        <v>70.25</v>
      </c>
      <c r="I305">
        <v>68.489999999999995</v>
      </c>
      <c r="J305">
        <v>60.46</v>
      </c>
      <c r="K305">
        <v>17.48</v>
      </c>
      <c r="L305">
        <v>68922.86</v>
      </c>
      <c r="M305">
        <v>62087.76</v>
      </c>
      <c r="N305">
        <v>10.65</v>
      </c>
      <c r="O305">
        <v>7.2669999999999998E-2</v>
      </c>
      <c r="P305">
        <v>3.1040000000000001</v>
      </c>
      <c r="Q305">
        <v>109.81</v>
      </c>
      <c r="R305">
        <v>25.975000000000001</v>
      </c>
      <c r="S305">
        <v>117.27</v>
      </c>
    </row>
    <row r="306" spans="1:19" x14ac:dyDescent="0.3">
      <c r="A306" s="2">
        <v>44349</v>
      </c>
      <c r="B306">
        <v>59.18</v>
      </c>
      <c r="C306">
        <v>78.599999999999994</v>
      </c>
      <c r="D306">
        <v>94.65</v>
      </c>
      <c r="E306">
        <v>112.1</v>
      </c>
      <c r="F306">
        <v>92.26</v>
      </c>
      <c r="G306">
        <v>68.83</v>
      </c>
      <c r="H306">
        <v>71.349999999999994</v>
      </c>
      <c r="I306">
        <v>69.5</v>
      </c>
      <c r="J306">
        <v>60.94</v>
      </c>
      <c r="K306">
        <v>17.48</v>
      </c>
      <c r="L306">
        <v>69049.039999999994</v>
      </c>
      <c r="M306">
        <v>61908.14</v>
      </c>
      <c r="N306">
        <v>10.625</v>
      </c>
      <c r="O306">
        <v>7.3929999999999996E-2</v>
      </c>
      <c r="P306">
        <v>3.0750000000000002</v>
      </c>
      <c r="Q306">
        <v>111.75</v>
      </c>
      <c r="R306">
        <v>25.725000000000001</v>
      </c>
      <c r="S306">
        <v>118.23</v>
      </c>
    </row>
    <row r="307" spans="1:19" x14ac:dyDescent="0.3">
      <c r="A307" s="2">
        <v>44350</v>
      </c>
      <c r="B307">
        <v>59.18</v>
      </c>
      <c r="C307">
        <v>78.599999999999994</v>
      </c>
      <c r="D307">
        <v>94.65</v>
      </c>
      <c r="E307">
        <v>112.1</v>
      </c>
      <c r="F307">
        <v>92.26</v>
      </c>
      <c r="G307">
        <v>68.81</v>
      </c>
      <c r="H307">
        <v>71.31</v>
      </c>
      <c r="I307">
        <v>69.47</v>
      </c>
      <c r="J307">
        <v>61.18</v>
      </c>
      <c r="K307">
        <v>17.559999999999999</v>
      </c>
      <c r="L307">
        <v>67791.38</v>
      </c>
      <c r="M307">
        <v>60169.48</v>
      </c>
      <c r="N307">
        <v>10.625</v>
      </c>
      <c r="O307">
        <v>7.3289999999999994E-2</v>
      </c>
      <c r="P307">
        <v>3.0409999999999999</v>
      </c>
      <c r="Q307">
        <v>111.6</v>
      </c>
      <c r="R307">
        <v>25.704999999999998</v>
      </c>
      <c r="S307">
        <v>119</v>
      </c>
    </row>
    <row r="308" spans="1:19" x14ac:dyDescent="0.3">
      <c r="A308" s="2">
        <v>44351</v>
      </c>
      <c r="B308">
        <v>61.73</v>
      </c>
      <c r="C308">
        <v>82.33</v>
      </c>
      <c r="D308">
        <v>98.66</v>
      </c>
      <c r="E308">
        <v>112.6</v>
      </c>
      <c r="F308">
        <v>96.44</v>
      </c>
      <c r="G308">
        <v>69.62</v>
      </c>
      <c r="H308">
        <v>71.89</v>
      </c>
      <c r="I308">
        <v>70.03</v>
      </c>
      <c r="J308">
        <v>61.45</v>
      </c>
      <c r="K308">
        <v>17.399999999999999</v>
      </c>
      <c r="L308">
        <v>67825.02</v>
      </c>
      <c r="M308">
        <v>60181.36</v>
      </c>
      <c r="N308">
        <v>10.605</v>
      </c>
      <c r="O308">
        <v>7.4349999999999999E-2</v>
      </c>
      <c r="P308">
        <v>3.097</v>
      </c>
      <c r="Q308">
        <v>112.18</v>
      </c>
      <c r="R308">
        <v>25.795000000000002</v>
      </c>
      <c r="S308">
        <v>118.33</v>
      </c>
    </row>
    <row r="309" spans="1:19" x14ac:dyDescent="0.3">
      <c r="A309" s="2">
        <v>44354</v>
      </c>
      <c r="B309">
        <v>61.73</v>
      </c>
      <c r="C309">
        <v>82.33</v>
      </c>
      <c r="D309">
        <v>98.66</v>
      </c>
      <c r="E309">
        <v>112.6</v>
      </c>
      <c r="F309">
        <v>96.44</v>
      </c>
      <c r="G309">
        <v>69.23</v>
      </c>
      <c r="H309">
        <v>71.489999999999995</v>
      </c>
      <c r="I309">
        <v>69.84</v>
      </c>
      <c r="J309">
        <v>61.05</v>
      </c>
      <c r="K309">
        <v>17.46</v>
      </c>
      <c r="L309">
        <v>67575.42</v>
      </c>
      <c r="M309">
        <v>59406.03</v>
      </c>
      <c r="N309">
        <v>10.675000000000001</v>
      </c>
      <c r="O309">
        <v>7.4050000000000005E-2</v>
      </c>
      <c r="P309">
        <v>3.07</v>
      </c>
      <c r="Q309">
        <v>110.4</v>
      </c>
      <c r="R309">
        <v>26.49</v>
      </c>
      <c r="S309">
        <v>121.73</v>
      </c>
    </row>
    <row r="310" spans="1:19" x14ac:dyDescent="0.3">
      <c r="A310" s="2">
        <v>44355</v>
      </c>
      <c r="B310">
        <v>61.73</v>
      </c>
      <c r="C310">
        <v>82.33</v>
      </c>
      <c r="D310">
        <v>98.66</v>
      </c>
      <c r="E310">
        <v>112.6</v>
      </c>
      <c r="F310">
        <v>96.44</v>
      </c>
      <c r="G310">
        <v>70.05</v>
      </c>
      <c r="H310">
        <v>72.22</v>
      </c>
      <c r="I310">
        <v>70.36</v>
      </c>
      <c r="J310">
        <v>62.13</v>
      </c>
      <c r="K310">
        <v>17.32</v>
      </c>
      <c r="L310">
        <v>67644.84</v>
      </c>
      <c r="M310">
        <v>58555.01</v>
      </c>
      <c r="N310">
        <v>10.85</v>
      </c>
      <c r="O310">
        <v>7.3630000000000001E-2</v>
      </c>
      <c r="P310">
        <v>3.1280000000000001</v>
      </c>
      <c r="Q310">
        <v>111.08</v>
      </c>
      <c r="R310">
        <v>27.8</v>
      </c>
      <c r="S310">
        <v>123.62</v>
      </c>
    </row>
    <row r="311" spans="1:19" x14ac:dyDescent="0.3">
      <c r="A311" s="2">
        <v>44356</v>
      </c>
      <c r="B311">
        <v>61.73</v>
      </c>
      <c r="C311">
        <v>82.33</v>
      </c>
      <c r="D311">
        <v>98.66</v>
      </c>
      <c r="E311">
        <v>112.6</v>
      </c>
      <c r="F311">
        <v>96.44</v>
      </c>
      <c r="G311">
        <v>69.959999999999994</v>
      </c>
      <c r="H311">
        <v>72.22</v>
      </c>
      <c r="I311">
        <v>70.34</v>
      </c>
      <c r="J311">
        <v>62.65</v>
      </c>
      <c r="K311">
        <v>17.52</v>
      </c>
      <c r="L311">
        <v>67681.47</v>
      </c>
      <c r="M311">
        <v>58519.58</v>
      </c>
      <c r="N311">
        <v>10.9</v>
      </c>
      <c r="O311">
        <v>7.2639999999999996E-2</v>
      </c>
      <c r="P311">
        <v>3.129</v>
      </c>
      <c r="Q311">
        <v>110.85</v>
      </c>
      <c r="R311">
        <v>28.3</v>
      </c>
      <c r="S311">
        <v>119.82</v>
      </c>
    </row>
    <row r="312" spans="1:19" x14ac:dyDescent="0.3">
      <c r="A312" s="2">
        <v>44357</v>
      </c>
      <c r="B312">
        <v>61.73</v>
      </c>
      <c r="C312">
        <v>82.33</v>
      </c>
      <c r="D312">
        <v>98.66</v>
      </c>
      <c r="E312">
        <v>112.6</v>
      </c>
      <c r="F312">
        <v>96.44</v>
      </c>
      <c r="G312">
        <v>70.290000000000006</v>
      </c>
      <c r="H312">
        <v>72.52</v>
      </c>
      <c r="I312">
        <v>70.52</v>
      </c>
      <c r="J312">
        <v>62.75</v>
      </c>
      <c r="K312">
        <v>17.48</v>
      </c>
      <c r="L312">
        <v>67542.84</v>
      </c>
      <c r="M312">
        <v>58148.22</v>
      </c>
      <c r="N312">
        <v>10.925000000000001</v>
      </c>
      <c r="O312">
        <v>7.3480000000000004E-2</v>
      </c>
      <c r="P312">
        <v>3.149</v>
      </c>
      <c r="Q312">
        <v>111.72</v>
      </c>
      <c r="R312">
        <v>28.684999999999999</v>
      </c>
      <c r="S312">
        <v>121.05</v>
      </c>
    </row>
    <row r="313" spans="1:19" x14ac:dyDescent="0.3">
      <c r="A313" s="2">
        <v>44358</v>
      </c>
      <c r="B313">
        <v>66.44</v>
      </c>
      <c r="C313">
        <v>86.03</v>
      </c>
      <c r="D313">
        <v>101.82</v>
      </c>
      <c r="E313">
        <v>117.59</v>
      </c>
      <c r="F313">
        <v>99.19</v>
      </c>
      <c r="G313">
        <v>70.91</v>
      </c>
      <c r="H313">
        <v>72.69</v>
      </c>
      <c r="I313">
        <v>70.61</v>
      </c>
      <c r="J313">
        <v>62.17</v>
      </c>
      <c r="K313">
        <v>17.66</v>
      </c>
      <c r="L313">
        <v>67723.91</v>
      </c>
      <c r="M313">
        <v>57991.43</v>
      </c>
      <c r="N313">
        <v>10.92</v>
      </c>
      <c r="O313">
        <v>7.3039999999999994E-2</v>
      </c>
      <c r="P313">
        <v>3.2959999999999998</v>
      </c>
      <c r="Q313">
        <v>112.67</v>
      </c>
      <c r="R313">
        <v>27.844999999999999</v>
      </c>
      <c r="S313">
        <v>121.58</v>
      </c>
    </row>
    <row r="314" spans="1:19" x14ac:dyDescent="0.3">
      <c r="A314" s="2">
        <v>44361</v>
      </c>
      <c r="B314">
        <v>66.44</v>
      </c>
      <c r="C314">
        <v>86.03</v>
      </c>
      <c r="D314">
        <v>101.82</v>
      </c>
      <c r="E314">
        <v>117.59</v>
      </c>
      <c r="F314">
        <v>99.19</v>
      </c>
      <c r="G314">
        <v>70.88</v>
      </c>
      <c r="H314">
        <v>72.86</v>
      </c>
      <c r="I314">
        <v>70.78</v>
      </c>
      <c r="J314">
        <v>62.07</v>
      </c>
      <c r="K314">
        <v>21.274702495201531</v>
      </c>
      <c r="L314">
        <v>67941.48</v>
      </c>
      <c r="M314">
        <v>57314.66</v>
      </c>
      <c r="N314">
        <v>10.92</v>
      </c>
      <c r="O314">
        <v>7.2569999999999996E-2</v>
      </c>
      <c r="P314">
        <v>3.3519999999999999</v>
      </c>
      <c r="Q314">
        <v>113.84</v>
      </c>
      <c r="R314">
        <v>28.81</v>
      </c>
      <c r="S314">
        <v>122</v>
      </c>
    </row>
    <row r="315" spans="1:19" x14ac:dyDescent="0.3">
      <c r="A315" s="2">
        <v>44362</v>
      </c>
      <c r="B315">
        <v>66.44</v>
      </c>
      <c r="C315">
        <v>86.03</v>
      </c>
      <c r="D315">
        <v>101.82</v>
      </c>
      <c r="E315">
        <v>117.59</v>
      </c>
      <c r="F315">
        <v>99.19</v>
      </c>
      <c r="G315">
        <v>72.12</v>
      </c>
      <c r="H315">
        <v>73.989999999999995</v>
      </c>
      <c r="I315">
        <v>71.39</v>
      </c>
      <c r="J315">
        <v>64.33</v>
      </c>
      <c r="K315">
        <v>17.54</v>
      </c>
      <c r="L315">
        <v>67310.570000000007</v>
      </c>
      <c r="M315">
        <v>56313.69</v>
      </c>
      <c r="N315">
        <v>10.923999999999999</v>
      </c>
      <c r="O315">
        <v>7.2569999999999996E-2</v>
      </c>
      <c r="P315">
        <v>3.24</v>
      </c>
      <c r="Q315">
        <v>114.04</v>
      </c>
      <c r="R315">
        <v>28.135000000000002</v>
      </c>
      <c r="S315">
        <v>125.12</v>
      </c>
    </row>
    <row r="316" spans="1:19" x14ac:dyDescent="0.3">
      <c r="A316" s="2">
        <v>44363</v>
      </c>
      <c r="B316">
        <v>66.44</v>
      </c>
      <c r="C316">
        <v>86.03</v>
      </c>
      <c r="D316">
        <v>101.82</v>
      </c>
      <c r="E316">
        <v>117.59</v>
      </c>
      <c r="F316">
        <v>99.19</v>
      </c>
      <c r="G316">
        <v>72.150000000000006</v>
      </c>
      <c r="H316">
        <v>74.39</v>
      </c>
      <c r="I316">
        <v>71.56</v>
      </c>
      <c r="J316">
        <v>64.099999999999994</v>
      </c>
      <c r="K316">
        <v>17.54</v>
      </c>
      <c r="L316">
        <v>68736.904810964072</v>
      </c>
      <c r="M316">
        <v>52972.178374291107</v>
      </c>
      <c r="N316">
        <v>11.63</v>
      </c>
      <c r="O316">
        <v>7.1309999999999998E-2</v>
      </c>
      <c r="P316">
        <v>3.2509999999999999</v>
      </c>
      <c r="Q316">
        <v>113.84</v>
      </c>
      <c r="R316">
        <v>28.03</v>
      </c>
      <c r="S316">
        <v>124.88</v>
      </c>
    </row>
    <row r="317" spans="1:19" x14ac:dyDescent="0.3">
      <c r="A317" s="2">
        <v>44364</v>
      </c>
      <c r="B317">
        <v>66.44</v>
      </c>
      <c r="C317">
        <v>86.03</v>
      </c>
      <c r="D317">
        <v>101.82</v>
      </c>
      <c r="E317">
        <v>117.59</v>
      </c>
      <c r="F317">
        <v>99.19</v>
      </c>
      <c r="G317">
        <v>71.040000000000006</v>
      </c>
      <c r="H317">
        <v>73.08</v>
      </c>
      <c r="I317">
        <v>70.94</v>
      </c>
      <c r="J317">
        <v>61.99</v>
      </c>
      <c r="K317">
        <v>17.5</v>
      </c>
      <c r="L317">
        <v>66585.48</v>
      </c>
      <c r="M317">
        <v>53467.97</v>
      </c>
      <c r="N317">
        <v>11.595000000000001</v>
      </c>
      <c r="O317">
        <v>7.0989999999999998E-2</v>
      </c>
      <c r="P317">
        <v>3.2530000000000001</v>
      </c>
      <c r="Q317">
        <v>114.02</v>
      </c>
      <c r="R317">
        <v>28.31</v>
      </c>
      <c r="S317">
        <v>124.37</v>
      </c>
    </row>
    <row r="318" spans="1:19" x14ac:dyDescent="0.3">
      <c r="A318" s="2">
        <v>44365</v>
      </c>
      <c r="B318">
        <v>65.540000000000006</v>
      </c>
      <c r="C318">
        <v>86.48</v>
      </c>
      <c r="D318">
        <v>103.31</v>
      </c>
      <c r="E318">
        <v>116.28</v>
      </c>
      <c r="F318">
        <v>102.04</v>
      </c>
      <c r="G318">
        <v>71.64</v>
      </c>
      <c r="H318">
        <v>73.510000000000005</v>
      </c>
      <c r="I318">
        <v>71.069999999999993</v>
      </c>
      <c r="J318">
        <v>60.4</v>
      </c>
      <c r="K318">
        <v>16.940000000000001</v>
      </c>
      <c r="L318">
        <v>65635.23</v>
      </c>
      <c r="M318">
        <v>53988.66</v>
      </c>
      <c r="N318">
        <v>11.87</v>
      </c>
      <c r="O318">
        <v>6.9470000000000004E-2</v>
      </c>
      <c r="P318">
        <v>3.2149999999999999</v>
      </c>
      <c r="Q318">
        <v>112.76</v>
      </c>
      <c r="R318">
        <v>29.405000000000001</v>
      </c>
      <c r="S318">
        <v>126.08</v>
      </c>
    </row>
    <row r="319" spans="1:19" x14ac:dyDescent="0.3">
      <c r="A319" s="2">
        <v>44368</v>
      </c>
      <c r="B319">
        <v>65.540000000000006</v>
      </c>
      <c r="C319">
        <v>86.48</v>
      </c>
      <c r="D319">
        <v>103.31</v>
      </c>
      <c r="E319">
        <v>116.28</v>
      </c>
      <c r="F319">
        <v>102.04</v>
      </c>
      <c r="G319">
        <v>73.66</v>
      </c>
      <c r="H319">
        <v>74.900000000000006</v>
      </c>
      <c r="I319">
        <v>71.48</v>
      </c>
      <c r="J319">
        <v>62.59</v>
      </c>
      <c r="K319">
        <v>16.88</v>
      </c>
      <c r="L319">
        <v>65563.48</v>
      </c>
      <c r="M319">
        <v>53504.33</v>
      </c>
      <c r="N319">
        <v>11.95</v>
      </c>
      <c r="O319">
        <v>7.0220000000000005E-2</v>
      </c>
      <c r="P319">
        <v>3.1909999999999998</v>
      </c>
      <c r="Q319">
        <v>113.7</v>
      </c>
      <c r="R319">
        <v>29.614999999999998</v>
      </c>
      <c r="S319">
        <v>125.17</v>
      </c>
    </row>
    <row r="320" spans="1:19" x14ac:dyDescent="0.3">
      <c r="A320" s="2">
        <v>44369</v>
      </c>
      <c r="B320">
        <v>65.540000000000006</v>
      </c>
      <c r="C320">
        <v>86.48</v>
      </c>
      <c r="D320">
        <v>103.31</v>
      </c>
      <c r="E320">
        <v>116.28</v>
      </c>
      <c r="F320">
        <v>102.04</v>
      </c>
      <c r="G320">
        <v>73.06</v>
      </c>
      <c r="H320">
        <v>74.81</v>
      </c>
      <c r="I320">
        <v>71.41</v>
      </c>
      <c r="J320">
        <v>63.79</v>
      </c>
      <c r="K320">
        <v>16.940000000000001</v>
      </c>
      <c r="L320">
        <v>65551.73</v>
      </c>
      <c r="M320">
        <v>53340.08</v>
      </c>
      <c r="N320">
        <v>12.4</v>
      </c>
      <c r="O320">
        <v>7.0040000000000005E-2</v>
      </c>
      <c r="P320">
        <v>3.258</v>
      </c>
      <c r="Q320">
        <v>114.45</v>
      </c>
      <c r="R320">
        <v>30.734999999999999</v>
      </c>
      <c r="S320">
        <v>123.12</v>
      </c>
    </row>
    <row r="321" spans="1:19" x14ac:dyDescent="0.3">
      <c r="A321" s="2">
        <v>44370</v>
      </c>
      <c r="B321">
        <v>65.540000000000006</v>
      </c>
      <c r="C321">
        <v>86.48</v>
      </c>
      <c r="D321">
        <v>103.31</v>
      </c>
      <c r="E321">
        <v>116.28</v>
      </c>
      <c r="F321">
        <v>102.04</v>
      </c>
      <c r="G321">
        <v>73.08</v>
      </c>
      <c r="H321">
        <v>75.19</v>
      </c>
      <c r="I321">
        <v>71.52</v>
      </c>
      <c r="J321">
        <v>64.260000000000005</v>
      </c>
      <c r="K321">
        <v>17.36</v>
      </c>
      <c r="L321">
        <v>65819.63</v>
      </c>
      <c r="M321">
        <v>54982.21</v>
      </c>
      <c r="N321">
        <v>12.605</v>
      </c>
      <c r="O321">
        <v>7.0309999999999997E-2</v>
      </c>
      <c r="P321">
        <v>3.3330000000000002</v>
      </c>
      <c r="Q321">
        <v>116.64</v>
      </c>
      <c r="R321">
        <v>31.545000000000002</v>
      </c>
      <c r="S321">
        <v>123.73</v>
      </c>
    </row>
    <row r="322" spans="1:19" x14ac:dyDescent="0.3">
      <c r="A322" s="2">
        <v>44371</v>
      </c>
      <c r="B322">
        <v>65.540000000000006</v>
      </c>
      <c r="C322">
        <v>86.48</v>
      </c>
      <c r="D322">
        <v>103.31</v>
      </c>
      <c r="E322">
        <v>116.28</v>
      </c>
      <c r="F322">
        <v>102.04</v>
      </c>
      <c r="G322">
        <v>73.3</v>
      </c>
      <c r="H322">
        <v>75.56</v>
      </c>
      <c r="I322">
        <v>71.599999999999994</v>
      </c>
      <c r="J322">
        <v>64.52</v>
      </c>
      <c r="K322">
        <v>17.52</v>
      </c>
      <c r="L322">
        <v>66263.490000000005</v>
      </c>
      <c r="M322">
        <v>55247.91</v>
      </c>
      <c r="N322">
        <v>12.625</v>
      </c>
      <c r="O322">
        <v>7.0389999999999994E-2</v>
      </c>
      <c r="P322">
        <v>3.4180000000000001</v>
      </c>
      <c r="Q322">
        <v>118.09</v>
      </c>
      <c r="R322">
        <v>32.015000000000001</v>
      </c>
      <c r="S322">
        <v>124.83</v>
      </c>
    </row>
    <row r="323" spans="1:19" x14ac:dyDescent="0.3">
      <c r="A323" s="2">
        <v>44372</v>
      </c>
      <c r="B323">
        <v>68.08</v>
      </c>
      <c r="C323">
        <v>87.79</v>
      </c>
      <c r="D323">
        <v>105.41</v>
      </c>
      <c r="E323">
        <v>115.27</v>
      </c>
      <c r="F323">
        <v>103.28</v>
      </c>
      <c r="G323">
        <v>74.05</v>
      </c>
      <c r="H323">
        <v>76.180000000000007</v>
      </c>
      <c r="I323">
        <v>71.650000000000006</v>
      </c>
      <c r="J323">
        <v>64.66</v>
      </c>
      <c r="K323">
        <v>17.88</v>
      </c>
      <c r="L323">
        <v>66215.47</v>
      </c>
      <c r="M323">
        <v>54614.12</v>
      </c>
      <c r="N323">
        <v>12.755000000000001</v>
      </c>
      <c r="O323">
        <v>7.0639999999999994E-2</v>
      </c>
      <c r="P323">
        <v>3.496</v>
      </c>
      <c r="Q323">
        <v>119.32</v>
      </c>
      <c r="R323">
        <v>32.384999999999998</v>
      </c>
      <c r="S323">
        <v>125.27</v>
      </c>
    </row>
    <row r="324" spans="1:19" x14ac:dyDescent="0.3">
      <c r="A324" s="2">
        <v>44375</v>
      </c>
      <c r="B324">
        <v>68.08</v>
      </c>
      <c r="C324">
        <v>87.79</v>
      </c>
      <c r="D324">
        <v>105.41</v>
      </c>
      <c r="E324">
        <v>115.27</v>
      </c>
      <c r="F324">
        <v>103.28</v>
      </c>
      <c r="G324">
        <v>72.91</v>
      </c>
      <c r="H324">
        <v>74.680000000000007</v>
      </c>
      <c r="I324">
        <v>71.540000000000006</v>
      </c>
      <c r="J324">
        <v>63.01</v>
      </c>
      <c r="K324">
        <v>17.3</v>
      </c>
      <c r="L324">
        <v>65809.350000000006</v>
      </c>
      <c r="M324">
        <v>54455.98</v>
      </c>
      <c r="N324">
        <v>12.7</v>
      </c>
      <c r="O324">
        <v>7.0180000000000006E-2</v>
      </c>
      <c r="P324">
        <v>3.617</v>
      </c>
      <c r="Q324">
        <v>118.79</v>
      </c>
      <c r="R324">
        <v>32.29</v>
      </c>
      <c r="S324">
        <v>128.1</v>
      </c>
    </row>
    <row r="325" spans="1:19" x14ac:dyDescent="0.3">
      <c r="A325" s="2">
        <v>44376</v>
      </c>
      <c r="B325">
        <v>68.08</v>
      </c>
      <c r="C325">
        <v>87.79</v>
      </c>
      <c r="D325">
        <v>105.41</v>
      </c>
      <c r="E325">
        <v>115.27</v>
      </c>
      <c r="F325">
        <v>103.28</v>
      </c>
      <c r="G325">
        <v>72.98</v>
      </c>
      <c r="H325">
        <v>74.760000000000005</v>
      </c>
      <c r="I325">
        <v>71.569999999999993</v>
      </c>
      <c r="J325">
        <v>62.62</v>
      </c>
      <c r="K325">
        <v>17.12</v>
      </c>
      <c r="L325">
        <v>66548.710000000006</v>
      </c>
      <c r="M325">
        <v>54050.95</v>
      </c>
      <c r="N325">
        <v>12.975</v>
      </c>
      <c r="O325">
        <v>6.9629999999999997E-2</v>
      </c>
      <c r="P325">
        <v>3.63</v>
      </c>
      <c r="Q325">
        <v>118.76</v>
      </c>
      <c r="R325">
        <v>33.485999999999997</v>
      </c>
      <c r="S325">
        <v>126.35</v>
      </c>
    </row>
    <row r="326" spans="1:19" x14ac:dyDescent="0.3">
      <c r="A326" s="2">
        <v>44377</v>
      </c>
      <c r="B326">
        <v>68.08</v>
      </c>
      <c r="C326">
        <v>87.79</v>
      </c>
      <c r="D326">
        <v>105.41</v>
      </c>
      <c r="E326">
        <v>115.27</v>
      </c>
      <c r="F326">
        <v>103.28</v>
      </c>
      <c r="G326">
        <v>73.47</v>
      </c>
      <c r="H326">
        <v>75.13</v>
      </c>
      <c r="I326">
        <v>71.569999999999993</v>
      </c>
      <c r="J326">
        <v>63.08</v>
      </c>
      <c r="K326">
        <v>15.22</v>
      </c>
      <c r="L326">
        <v>66248.740000000005</v>
      </c>
      <c r="M326">
        <v>54184.77</v>
      </c>
      <c r="N326">
        <v>13.11</v>
      </c>
      <c r="O326">
        <v>7.0019999999999999E-2</v>
      </c>
      <c r="P326">
        <v>3.65</v>
      </c>
      <c r="Q326">
        <v>118.7</v>
      </c>
      <c r="R326">
        <v>34.619999999999997</v>
      </c>
      <c r="S326">
        <v>125.05</v>
      </c>
    </row>
    <row r="327" spans="1:19" x14ac:dyDescent="0.3">
      <c r="A327" s="2">
        <v>44378</v>
      </c>
      <c r="B327">
        <v>68.08</v>
      </c>
      <c r="C327">
        <v>87.79</v>
      </c>
      <c r="D327">
        <v>105.41</v>
      </c>
      <c r="E327">
        <v>115.27</v>
      </c>
      <c r="F327">
        <v>103.28</v>
      </c>
      <c r="G327">
        <v>75.23</v>
      </c>
      <c r="H327">
        <v>75.84</v>
      </c>
      <c r="I327">
        <v>73.88</v>
      </c>
      <c r="J327">
        <v>63.26</v>
      </c>
      <c r="K327">
        <v>21.274702495201531</v>
      </c>
      <c r="L327">
        <v>66555.78</v>
      </c>
      <c r="M327">
        <v>55790.74</v>
      </c>
      <c r="N327">
        <v>13.23</v>
      </c>
      <c r="O327">
        <v>6.9309999999999997E-2</v>
      </c>
      <c r="P327">
        <v>3.661</v>
      </c>
      <c r="Q327">
        <v>118.84</v>
      </c>
      <c r="R327">
        <v>36.145000000000003</v>
      </c>
      <c r="S327">
        <v>126.8</v>
      </c>
    </row>
    <row r="328" spans="1:19" x14ac:dyDescent="0.3">
      <c r="A328" s="2">
        <v>44379</v>
      </c>
      <c r="B328">
        <v>69</v>
      </c>
      <c r="C328">
        <v>89.18</v>
      </c>
      <c r="D328">
        <v>107.39</v>
      </c>
      <c r="E328">
        <v>115.27</v>
      </c>
      <c r="F328">
        <v>105.45</v>
      </c>
      <c r="G328">
        <v>75.16</v>
      </c>
      <c r="H328">
        <v>76.17</v>
      </c>
      <c r="I328">
        <v>74.23</v>
      </c>
      <c r="J328">
        <v>63.17</v>
      </c>
      <c r="K328">
        <v>14.94</v>
      </c>
      <c r="L328">
        <v>66323.759999999995</v>
      </c>
      <c r="M328">
        <v>55241.68</v>
      </c>
      <c r="N328">
        <v>13.115</v>
      </c>
      <c r="O328">
        <v>7.0139999999999994E-2</v>
      </c>
      <c r="P328">
        <v>3.7</v>
      </c>
      <c r="Q328">
        <v>118.83</v>
      </c>
      <c r="R328">
        <v>35.826999999999998</v>
      </c>
      <c r="S328">
        <v>127.33</v>
      </c>
    </row>
    <row r="329" spans="1:19" x14ac:dyDescent="0.3">
      <c r="A329" s="2">
        <v>44382</v>
      </c>
      <c r="B329">
        <v>69</v>
      </c>
      <c r="C329">
        <v>89.18</v>
      </c>
      <c r="D329">
        <v>107.39</v>
      </c>
      <c r="E329">
        <v>115.27</v>
      </c>
      <c r="F329">
        <v>105.45</v>
      </c>
      <c r="G329">
        <v>76.25</v>
      </c>
      <c r="H329">
        <v>77.16</v>
      </c>
      <c r="I329">
        <v>74.752492970946577</v>
      </c>
      <c r="J329">
        <v>80.871012183692585</v>
      </c>
      <c r="K329">
        <v>15.42</v>
      </c>
      <c r="L329">
        <v>66166.86</v>
      </c>
      <c r="M329">
        <v>56127.839999999997</v>
      </c>
      <c r="N329">
        <v>17.62252908067542</v>
      </c>
      <c r="O329">
        <v>7.0069999999999993E-2</v>
      </c>
      <c r="P329">
        <v>3.79</v>
      </c>
      <c r="Q329">
        <v>112.7561105904405</v>
      </c>
      <c r="R329">
        <v>57.384855947955387</v>
      </c>
      <c r="S329">
        <v>130.18</v>
      </c>
    </row>
    <row r="330" spans="1:19" x14ac:dyDescent="0.3">
      <c r="A330" s="2">
        <v>44383</v>
      </c>
      <c r="B330">
        <v>69</v>
      </c>
      <c r="C330">
        <v>89.18</v>
      </c>
      <c r="D330">
        <v>107.39</v>
      </c>
      <c r="E330">
        <v>115.27</v>
      </c>
      <c r="F330">
        <v>105.45</v>
      </c>
      <c r="G330">
        <v>73.37</v>
      </c>
      <c r="H330">
        <v>74.53</v>
      </c>
      <c r="I330">
        <v>72.930000000000007</v>
      </c>
      <c r="J330">
        <v>61.37</v>
      </c>
      <c r="K330">
        <v>15.24</v>
      </c>
      <c r="L330">
        <v>65849.75</v>
      </c>
      <c r="M330">
        <v>56301.8</v>
      </c>
      <c r="N330">
        <v>12.885</v>
      </c>
      <c r="O330">
        <v>6.9470000000000004E-2</v>
      </c>
      <c r="P330">
        <v>3.637</v>
      </c>
      <c r="Q330">
        <v>117.98</v>
      </c>
      <c r="R330">
        <v>34.104999999999997</v>
      </c>
      <c r="S330">
        <v>130.97</v>
      </c>
    </row>
    <row r="331" spans="1:19" x14ac:dyDescent="0.3">
      <c r="A331" s="2">
        <v>44384</v>
      </c>
      <c r="B331">
        <v>69</v>
      </c>
      <c r="C331">
        <v>89.18</v>
      </c>
      <c r="D331">
        <v>107.39</v>
      </c>
      <c r="E331">
        <v>115.27</v>
      </c>
      <c r="F331">
        <v>105.45</v>
      </c>
      <c r="G331">
        <v>72.2</v>
      </c>
      <c r="H331">
        <v>73.430000000000007</v>
      </c>
      <c r="I331">
        <v>72.08</v>
      </c>
      <c r="J331">
        <v>60.41</v>
      </c>
      <c r="K331">
        <v>15.32</v>
      </c>
      <c r="L331">
        <v>66806.36</v>
      </c>
      <c r="M331">
        <v>57533.98</v>
      </c>
      <c r="N331">
        <v>12.685</v>
      </c>
      <c r="O331">
        <v>6.9830000000000003E-2</v>
      </c>
      <c r="P331">
        <v>3.5960000000000001</v>
      </c>
      <c r="Q331">
        <v>118</v>
      </c>
      <c r="R331">
        <v>32.340000000000003</v>
      </c>
      <c r="S331">
        <v>132.02000000000001</v>
      </c>
    </row>
    <row r="332" spans="1:19" x14ac:dyDescent="0.3">
      <c r="A332" s="2">
        <v>44385</v>
      </c>
      <c r="B332">
        <v>69</v>
      </c>
      <c r="C332">
        <v>89.18</v>
      </c>
      <c r="D332">
        <v>107.39</v>
      </c>
      <c r="E332">
        <v>115.27</v>
      </c>
      <c r="F332">
        <v>105.45</v>
      </c>
      <c r="G332">
        <v>72.94</v>
      </c>
      <c r="H332">
        <v>74.12</v>
      </c>
      <c r="I332">
        <v>72.58</v>
      </c>
      <c r="J332">
        <v>60.14</v>
      </c>
      <c r="K332">
        <v>14.92</v>
      </c>
      <c r="L332">
        <v>65243.5</v>
      </c>
      <c r="M332">
        <v>54565.49</v>
      </c>
      <c r="N332">
        <v>12.935</v>
      </c>
      <c r="O332">
        <v>6.9699999999999998E-2</v>
      </c>
      <c r="P332">
        <v>3.6880000000000002</v>
      </c>
      <c r="Q332">
        <v>118.06</v>
      </c>
      <c r="R332">
        <v>33.31</v>
      </c>
      <c r="S332">
        <v>131.78</v>
      </c>
    </row>
    <row r="333" spans="1:19" x14ac:dyDescent="0.3">
      <c r="A333" s="2">
        <v>44386</v>
      </c>
      <c r="B333">
        <v>69.59</v>
      </c>
      <c r="C333">
        <v>91.35</v>
      </c>
      <c r="D333">
        <v>108.93</v>
      </c>
      <c r="E333">
        <v>116.79</v>
      </c>
      <c r="F333">
        <v>106.27</v>
      </c>
      <c r="G333">
        <v>74.56</v>
      </c>
      <c r="H333">
        <v>75.55</v>
      </c>
      <c r="I333">
        <v>73.72</v>
      </c>
      <c r="J333">
        <v>61.23</v>
      </c>
      <c r="K333">
        <v>14.92</v>
      </c>
      <c r="L333">
        <v>66385.570000000007</v>
      </c>
      <c r="M333">
        <v>54759.6</v>
      </c>
      <c r="N333">
        <v>13</v>
      </c>
      <c r="O333">
        <v>7.0499999999999993E-2</v>
      </c>
      <c r="P333">
        <v>3.6739999999999999</v>
      </c>
      <c r="Q333">
        <v>118.97</v>
      </c>
      <c r="R333">
        <v>36.631999999999998</v>
      </c>
      <c r="S333">
        <v>132.30000000000001</v>
      </c>
    </row>
    <row r="334" spans="1:19" x14ac:dyDescent="0.3">
      <c r="A334" s="2">
        <v>44389</v>
      </c>
      <c r="B334">
        <v>69.59</v>
      </c>
      <c r="C334">
        <v>91.35</v>
      </c>
      <c r="D334">
        <v>108.93</v>
      </c>
      <c r="E334">
        <v>116.79</v>
      </c>
      <c r="F334">
        <v>106.27</v>
      </c>
      <c r="G334">
        <v>74.099999999999994</v>
      </c>
      <c r="H334">
        <v>75.16</v>
      </c>
      <c r="I334">
        <v>73.540000000000006</v>
      </c>
      <c r="J334">
        <v>61.17</v>
      </c>
      <c r="K334">
        <v>14.74</v>
      </c>
      <c r="L334">
        <v>67293.33</v>
      </c>
      <c r="M334">
        <v>55988.75</v>
      </c>
      <c r="N334">
        <v>13.01</v>
      </c>
      <c r="O334">
        <v>6.9339999999999999E-2</v>
      </c>
      <c r="P334">
        <v>3.7490000000000001</v>
      </c>
      <c r="Q334">
        <v>119.06</v>
      </c>
      <c r="R334">
        <v>34.65</v>
      </c>
      <c r="S334">
        <v>131.6</v>
      </c>
    </row>
    <row r="335" spans="1:19" x14ac:dyDescent="0.3">
      <c r="A335" s="2">
        <v>44390</v>
      </c>
      <c r="B335">
        <v>69.59</v>
      </c>
      <c r="C335">
        <v>91.35</v>
      </c>
      <c r="D335">
        <v>108.93</v>
      </c>
      <c r="E335">
        <v>116.79</v>
      </c>
      <c r="F335">
        <v>106.27</v>
      </c>
      <c r="G335">
        <v>75.25</v>
      </c>
      <c r="H335">
        <v>76.489999999999995</v>
      </c>
      <c r="I335">
        <v>74.36</v>
      </c>
      <c r="J335">
        <v>60.88</v>
      </c>
      <c r="K335">
        <v>15</v>
      </c>
      <c r="L335">
        <v>67088.27</v>
      </c>
      <c r="M335">
        <v>57405.69</v>
      </c>
      <c r="N335">
        <v>12.97</v>
      </c>
      <c r="O335">
        <v>6.7839999999999998E-2</v>
      </c>
      <c r="P335">
        <v>3.6960000000000002</v>
      </c>
      <c r="Q335">
        <v>118.69</v>
      </c>
      <c r="R335">
        <v>35.465000000000003</v>
      </c>
      <c r="S335">
        <v>136.37</v>
      </c>
    </row>
    <row r="336" spans="1:19" x14ac:dyDescent="0.3">
      <c r="A336" s="2">
        <v>44391</v>
      </c>
      <c r="B336">
        <v>69.59</v>
      </c>
      <c r="C336">
        <v>91.35</v>
      </c>
      <c r="D336">
        <v>108.93</v>
      </c>
      <c r="E336">
        <v>116.79</v>
      </c>
      <c r="F336">
        <v>106.27</v>
      </c>
      <c r="G336">
        <v>73.13</v>
      </c>
      <c r="H336">
        <v>74.760000000000005</v>
      </c>
      <c r="I336">
        <v>73.48</v>
      </c>
      <c r="J336">
        <v>59.53</v>
      </c>
      <c r="K336">
        <v>15.2</v>
      </c>
      <c r="L336">
        <v>67897.600000000006</v>
      </c>
      <c r="M336">
        <v>58500.84</v>
      </c>
      <c r="N336">
        <v>12.975</v>
      </c>
      <c r="O336">
        <v>6.9029999999999994E-2</v>
      </c>
      <c r="P336">
        <v>3.66</v>
      </c>
      <c r="Q336">
        <v>118.18</v>
      </c>
      <c r="R336">
        <v>34.774999999999999</v>
      </c>
      <c r="S336">
        <v>138.02000000000001</v>
      </c>
    </row>
    <row r="337" spans="1:19" x14ac:dyDescent="0.3">
      <c r="A337" s="2">
        <v>44392</v>
      </c>
      <c r="B337">
        <v>69.59</v>
      </c>
      <c r="C337">
        <v>91.35</v>
      </c>
      <c r="D337">
        <v>108.93</v>
      </c>
      <c r="E337">
        <v>116.79</v>
      </c>
      <c r="F337">
        <v>106.27</v>
      </c>
      <c r="G337">
        <v>71.650000000000006</v>
      </c>
      <c r="H337">
        <v>73.47</v>
      </c>
      <c r="I337">
        <v>72.83</v>
      </c>
      <c r="J337">
        <v>58.95</v>
      </c>
      <c r="K337">
        <v>15.22</v>
      </c>
      <c r="L337">
        <v>67538.61</v>
      </c>
      <c r="M337">
        <v>57985.18</v>
      </c>
      <c r="N337">
        <v>12.973000000000001</v>
      </c>
      <c r="O337">
        <v>6.862E-2</v>
      </c>
      <c r="P337">
        <v>3.6139999999999999</v>
      </c>
      <c r="Q337">
        <v>117.99</v>
      </c>
      <c r="R337">
        <v>33.795000000000002</v>
      </c>
      <c r="S337">
        <v>136.47</v>
      </c>
    </row>
    <row r="338" spans="1:19" x14ac:dyDescent="0.3">
      <c r="A338" s="2">
        <v>44393</v>
      </c>
      <c r="B338">
        <v>76.650000000000006</v>
      </c>
      <c r="C338">
        <v>98.11</v>
      </c>
      <c r="D338">
        <v>117.78</v>
      </c>
      <c r="E338">
        <v>121.27</v>
      </c>
      <c r="F338">
        <v>111.27</v>
      </c>
      <c r="G338">
        <v>71.81</v>
      </c>
      <c r="H338">
        <v>73.59</v>
      </c>
      <c r="I338">
        <v>72.92</v>
      </c>
      <c r="J338">
        <v>57.32</v>
      </c>
      <c r="K338">
        <v>15.24</v>
      </c>
      <c r="L338">
        <v>66529.53</v>
      </c>
      <c r="M338">
        <v>56143.62</v>
      </c>
      <c r="N338">
        <v>13.96</v>
      </c>
      <c r="O338">
        <v>6.9099999999999995E-2</v>
      </c>
      <c r="P338">
        <v>3.6739999999999999</v>
      </c>
      <c r="Q338">
        <v>118.06</v>
      </c>
      <c r="R338">
        <v>34.840000000000003</v>
      </c>
      <c r="S338">
        <v>137.44999999999999</v>
      </c>
    </row>
    <row r="339" spans="1:19" x14ac:dyDescent="0.3">
      <c r="A339" s="2">
        <v>44396</v>
      </c>
      <c r="B339">
        <v>76.650000000000006</v>
      </c>
      <c r="C339">
        <v>98.11</v>
      </c>
      <c r="D339">
        <v>117.78</v>
      </c>
      <c r="E339">
        <v>121.27</v>
      </c>
      <c r="F339">
        <v>111.27</v>
      </c>
      <c r="G339">
        <v>66.42</v>
      </c>
      <c r="H339">
        <v>68.62</v>
      </c>
      <c r="I339">
        <v>71.010000000000005</v>
      </c>
      <c r="J339">
        <v>55.35</v>
      </c>
      <c r="K339">
        <v>15.24</v>
      </c>
      <c r="L339">
        <v>64804.74</v>
      </c>
      <c r="M339">
        <v>53836.9</v>
      </c>
      <c r="N339">
        <v>14.19</v>
      </c>
      <c r="O339">
        <v>6.8589999999999998E-2</v>
      </c>
      <c r="P339">
        <v>3.7789999999999999</v>
      </c>
      <c r="Q339">
        <v>117.36</v>
      </c>
      <c r="R339">
        <v>35.65</v>
      </c>
      <c r="S339">
        <v>145.32</v>
      </c>
    </row>
    <row r="340" spans="1:19" x14ac:dyDescent="0.3">
      <c r="A340" s="2">
        <v>44397</v>
      </c>
      <c r="B340">
        <v>76.650000000000006</v>
      </c>
      <c r="C340">
        <v>98.11</v>
      </c>
      <c r="D340">
        <v>117.78</v>
      </c>
      <c r="E340">
        <v>121.27</v>
      </c>
      <c r="F340">
        <v>111.27</v>
      </c>
      <c r="G340">
        <v>67.42</v>
      </c>
      <c r="H340">
        <v>69.349999999999994</v>
      </c>
      <c r="I340">
        <v>71.28</v>
      </c>
      <c r="J340">
        <v>55.96</v>
      </c>
      <c r="K340">
        <v>15.02</v>
      </c>
      <c r="L340">
        <v>65724.679999999993</v>
      </c>
      <c r="M340">
        <v>54913.13</v>
      </c>
      <c r="N340">
        <v>14.035</v>
      </c>
      <c r="O340">
        <v>6.8419999999999995E-2</v>
      </c>
      <c r="P340">
        <v>3.8759999999999999</v>
      </c>
      <c r="Q340">
        <v>119.14</v>
      </c>
      <c r="R340">
        <v>35.164999999999999</v>
      </c>
      <c r="S340">
        <v>142.37</v>
      </c>
    </row>
    <row r="341" spans="1:19" x14ac:dyDescent="0.3">
      <c r="A341" s="2">
        <v>44398</v>
      </c>
      <c r="B341">
        <v>76.650000000000006</v>
      </c>
      <c r="C341">
        <v>98.11</v>
      </c>
      <c r="D341">
        <v>117.78</v>
      </c>
      <c r="E341">
        <v>121.27</v>
      </c>
      <c r="F341">
        <v>111.27</v>
      </c>
      <c r="G341">
        <v>70.3</v>
      </c>
      <c r="H341">
        <v>72.23</v>
      </c>
      <c r="I341">
        <v>72.28</v>
      </c>
      <c r="J341">
        <v>57.76</v>
      </c>
      <c r="K341">
        <v>14.82</v>
      </c>
      <c r="L341">
        <v>66558.460000000006</v>
      </c>
      <c r="M341">
        <v>55004.68</v>
      </c>
      <c r="N341">
        <v>14.31</v>
      </c>
      <c r="O341">
        <v>6.8440000000000001E-2</v>
      </c>
      <c r="P341">
        <v>3.9590000000000001</v>
      </c>
      <c r="Q341">
        <v>120.23</v>
      </c>
      <c r="R341">
        <v>35.950000000000003</v>
      </c>
      <c r="S341">
        <v>141.61602674307539</v>
      </c>
    </row>
    <row r="342" spans="1:19" x14ac:dyDescent="0.3">
      <c r="A342" s="2">
        <v>44399</v>
      </c>
      <c r="B342">
        <v>76.650000000000006</v>
      </c>
      <c r="C342">
        <v>98.11</v>
      </c>
      <c r="D342">
        <v>117.78</v>
      </c>
      <c r="E342">
        <v>121.27</v>
      </c>
      <c r="F342">
        <v>111.27</v>
      </c>
      <c r="G342">
        <v>71.91</v>
      </c>
      <c r="H342">
        <v>73.790000000000006</v>
      </c>
      <c r="I342">
        <v>72.81</v>
      </c>
      <c r="J342">
        <v>57.11</v>
      </c>
      <c r="K342">
        <v>15.02</v>
      </c>
      <c r="L342">
        <v>67404.27</v>
      </c>
      <c r="M342">
        <v>55816.69</v>
      </c>
      <c r="N342">
        <v>14.275</v>
      </c>
      <c r="O342">
        <v>6.8040000000000003E-2</v>
      </c>
      <c r="P342">
        <v>4.0030000000000001</v>
      </c>
      <c r="Q342">
        <v>120.37</v>
      </c>
      <c r="R342">
        <v>36.130000000000003</v>
      </c>
      <c r="S342">
        <v>148.57</v>
      </c>
    </row>
    <row r="343" spans="1:19" x14ac:dyDescent="0.3">
      <c r="A343" s="2">
        <v>44400</v>
      </c>
      <c r="B343">
        <v>81.12</v>
      </c>
      <c r="C343">
        <v>102.56</v>
      </c>
      <c r="D343">
        <v>123.15</v>
      </c>
      <c r="E343">
        <v>129.15</v>
      </c>
      <c r="F343">
        <v>116.25</v>
      </c>
      <c r="G343">
        <v>72.069999999999993</v>
      </c>
      <c r="H343">
        <v>74.099999999999994</v>
      </c>
      <c r="I343">
        <v>72.87</v>
      </c>
      <c r="J343">
        <v>57.04</v>
      </c>
      <c r="K343">
        <v>15.14</v>
      </c>
      <c r="L343">
        <v>68063.7</v>
      </c>
      <c r="M343">
        <v>55876.03</v>
      </c>
      <c r="N343">
        <v>14.18</v>
      </c>
      <c r="O343">
        <v>6.7280000000000006E-2</v>
      </c>
      <c r="P343">
        <v>4.0599999999999996</v>
      </c>
      <c r="Q343">
        <v>121.36</v>
      </c>
      <c r="R343">
        <v>35.524999999999999</v>
      </c>
      <c r="S343">
        <v>147.87</v>
      </c>
    </row>
    <row r="344" spans="1:19" x14ac:dyDescent="0.3">
      <c r="A344" s="2">
        <v>44403</v>
      </c>
      <c r="B344">
        <v>81.12</v>
      </c>
      <c r="C344">
        <v>102.56</v>
      </c>
      <c r="D344">
        <v>123.15</v>
      </c>
      <c r="E344">
        <v>129.15</v>
      </c>
      <c r="F344">
        <v>116.25</v>
      </c>
      <c r="G344">
        <v>71.91</v>
      </c>
      <c r="H344">
        <v>74.5</v>
      </c>
      <c r="I344">
        <v>72.83</v>
      </c>
      <c r="J344">
        <v>58.48</v>
      </c>
      <c r="K344">
        <v>14.82</v>
      </c>
      <c r="L344">
        <v>68051.05</v>
      </c>
      <c r="M344">
        <v>58073.2</v>
      </c>
      <c r="N344">
        <v>14.59</v>
      </c>
      <c r="O344">
        <v>6.7580000000000001E-2</v>
      </c>
      <c r="P344">
        <v>4.1020000000000003</v>
      </c>
      <c r="Q344">
        <v>120.43</v>
      </c>
      <c r="R344">
        <v>36.914999999999999</v>
      </c>
      <c r="S344">
        <v>146.58000000000001</v>
      </c>
    </row>
    <row r="345" spans="1:19" x14ac:dyDescent="0.3">
      <c r="A345" s="2">
        <v>44404</v>
      </c>
      <c r="B345">
        <v>81.12</v>
      </c>
      <c r="C345">
        <v>102.56</v>
      </c>
      <c r="D345">
        <v>123.15</v>
      </c>
      <c r="E345">
        <v>129.15</v>
      </c>
      <c r="F345">
        <v>116.25</v>
      </c>
      <c r="G345">
        <v>71.650000000000006</v>
      </c>
      <c r="H345">
        <v>74.48</v>
      </c>
      <c r="I345">
        <v>72.81</v>
      </c>
      <c r="J345">
        <v>57.83</v>
      </c>
      <c r="K345">
        <v>14.54</v>
      </c>
      <c r="L345">
        <v>67340.72</v>
      </c>
      <c r="M345">
        <v>57682.1</v>
      </c>
      <c r="N345">
        <v>14.805</v>
      </c>
      <c r="O345">
        <v>6.7589999999999997E-2</v>
      </c>
      <c r="P345">
        <v>3.9710000000000001</v>
      </c>
      <c r="Q345">
        <v>121.05</v>
      </c>
      <c r="R345">
        <v>37.590000000000003</v>
      </c>
      <c r="S345">
        <v>143.05000000000001</v>
      </c>
    </row>
    <row r="346" spans="1:19" x14ac:dyDescent="0.3">
      <c r="A346" s="2">
        <v>44405</v>
      </c>
      <c r="B346">
        <v>81.12</v>
      </c>
      <c r="C346">
        <v>102.56</v>
      </c>
      <c r="D346">
        <v>123.15</v>
      </c>
      <c r="E346">
        <v>129.15</v>
      </c>
      <c r="F346">
        <v>116.25</v>
      </c>
      <c r="G346">
        <v>72.39</v>
      </c>
      <c r="H346">
        <v>74.739999999999995</v>
      </c>
      <c r="I346">
        <v>72.81</v>
      </c>
      <c r="J346">
        <v>58.22</v>
      </c>
      <c r="K346">
        <v>14.54</v>
      </c>
      <c r="L346">
        <v>68525.539999999994</v>
      </c>
      <c r="M346">
        <v>58940.06</v>
      </c>
      <c r="N346">
        <v>15.085000000000001</v>
      </c>
      <c r="O346">
        <v>6.7739999999999995E-2</v>
      </c>
      <c r="P346">
        <v>4.0439999999999996</v>
      </c>
      <c r="Q346">
        <v>121.32</v>
      </c>
      <c r="R346">
        <v>39.700000000000003</v>
      </c>
      <c r="S346">
        <v>139.63</v>
      </c>
    </row>
    <row r="347" spans="1:19" x14ac:dyDescent="0.3">
      <c r="A347" s="2">
        <v>44406</v>
      </c>
      <c r="B347">
        <v>81.12</v>
      </c>
      <c r="C347">
        <v>102.56</v>
      </c>
      <c r="D347">
        <v>123.15</v>
      </c>
      <c r="E347">
        <v>129.15</v>
      </c>
      <c r="F347">
        <v>116.25</v>
      </c>
      <c r="G347">
        <v>73.62</v>
      </c>
      <c r="H347">
        <v>76.05</v>
      </c>
      <c r="I347">
        <v>72.89</v>
      </c>
      <c r="J347">
        <v>58.93</v>
      </c>
      <c r="K347">
        <v>14.72</v>
      </c>
      <c r="L347">
        <v>69565.23</v>
      </c>
      <c r="M347">
        <v>60624.91</v>
      </c>
      <c r="N347">
        <v>15.25</v>
      </c>
      <c r="O347">
        <v>6.8659999999999999E-2</v>
      </c>
      <c r="P347">
        <v>4.0590000000000002</v>
      </c>
      <c r="Q347">
        <v>120.82</v>
      </c>
      <c r="R347">
        <v>41.154000000000003</v>
      </c>
      <c r="S347">
        <v>144.62</v>
      </c>
    </row>
    <row r="348" spans="1:19" x14ac:dyDescent="0.3">
      <c r="A348" s="2">
        <v>44407</v>
      </c>
      <c r="B348">
        <v>82</v>
      </c>
      <c r="C348">
        <v>104.57</v>
      </c>
      <c r="D348">
        <v>125.64</v>
      </c>
      <c r="E348">
        <v>130.15</v>
      </c>
      <c r="F348">
        <v>117.69</v>
      </c>
      <c r="G348">
        <v>73.95</v>
      </c>
      <c r="H348">
        <v>76.33</v>
      </c>
      <c r="I348">
        <v>72.900000000000006</v>
      </c>
      <c r="J348">
        <v>57.57</v>
      </c>
      <c r="K348">
        <v>14.7</v>
      </c>
      <c r="L348">
        <v>68970.78</v>
      </c>
      <c r="M348">
        <v>59964.91</v>
      </c>
      <c r="N348">
        <v>14.755000000000001</v>
      </c>
      <c r="O348">
        <v>6.8599999999999994E-2</v>
      </c>
      <c r="P348">
        <v>3.9140000000000001</v>
      </c>
      <c r="Q348">
        <v>119.83</v>
      </c>
      <c r="R348">
        <v>40.755000000000003</v>
      </c>
      <c r="S348">
        <v>143.66999999999999</v>
      </c>
    </row>
    <row r="349" spans="1:19" x14ac:dyDescent="0.3">
      <c r="A349" s="2">
        <v>44410</v>
      </c>
      <c r="B349">
        <v>82</v>
      </c>
      <c r="C349">
        <v>104.57</v>
      </c>
      <c r="D349">
        <v>125.64</v>
      </c>
      <c r="E349">
        <v>130.15</v>
      </c>
      <c r="F349">
        <v>117.69</v>
      </c>
      <c r="G349">
        <v>71.260000000000005</v>
      </c>
      <c r="H349">
        <v>72.89</v>
      </c>
      <c r="I349">
        <v>71.37</v>
      </c>
      <c r="J349">
        <v>57.58</v>
      </c>
      <c r="K349">
        <v>14.9</v>
      </c>
      <c r="L349">
        <v>68822.75</v>
      </c>
      <c r="M349">
        <v>59268.9</v>
      </c>
      <c r="N349">
        <v>15.465</v>
      </c>
      <c r="O349">
        <v>6.9110000000000005E-2</v>
      </c>
      <c r="P349">
        <v>3.9350000000000001</v>
      </c>
      <c r="Q349">
        <v>119.43</v>
      </c>
      <c r="R349">
        <v>42.155000000000001</v>
      </c>
      <c r="S349">
        <v>144.19999999999999</v>
      </c>
    </row>
    <row r="350" spans="1:19" x14ac:dyDescent="0.3">
      <c r="A350" s="2">
        <v>44411</v>
      </c>
      <c r="B350">
        <v>82</v>
      </c>
      <c r="C350">
        <v>104.57</v>
      </c>
      <c r="D350">
        <v>125.64</v>
      </c>
      <c r="E350">
        <v>130.15</v>
      </c>
      <c r="F350">
        <v>117.69</v>
      </c>
      <c r="G350">
        <v>70.56</v>
      </c>
      <c r="H350">
        <v>72.41</v>
      </c>
      <c r="I350">
        <v>70.95</v>
      </c>
      <c r="J350">
        <v>58.2</v>
      </c>
      <c r="K350">
        <v>14.86</v>
      </c>
      <c r="L350">
        <v>68705.73</v>
      </c>
      <c r="M350">
        <v>59640.92</v>
      </c>
      <c r="N350">
        <v>15.34</v>
      </c>
      <c r="O350">
        <v>6.9809999999999997E-2</v>
      </c>
      <c r="P350">
        <v>4.0270000000000001</v>
      </c>
      <c r="Q350">
        <v>119.12</v>
      </c>
      <c r="R350">
        <v>41.244999999999997</v>
      </c>
      <c r="S350">
        <v>142.97999999999999</v>
      </c>
    </row>
    <row r="351" spans="1:19" x14ac:dyDescent="0.3">
      <c r="A351" s="2">
        <v>44412</v>
      </c>
      <c r="B351">
        <v>82</v>
      </c>
      <c r="C351">
        <v>104.57</v>
      </c>
      <c r="D351">
        <v>125.64</v>
      </c>
      <c r="E351">
        <v>130.15</v>
      </c>
      <c r="F351">
        <v>117.69</v>
      </c>
      <c r="G351">
        <v>68.150000000000006</v>
      </c>
      <c r="H351">
        <v>70.38</v>
      </c>
      <c r="I351">
        <v>69.39</v>
      </c>
      <c r="J351">
        <v>56.84</v>
      </c>
      <c r="K351">
        <v>15</v>
      </c>
      <c r="L351">
        <v>68898.039999999994</v>
      </c>
      <c r="M351">
        <v>59996.95</v>
      </c>
      <c r="N351">
        <v>15.324999999999999</v>
      </c>
      <c r="O351">
        <v>6.9540000000000005E-2</v>
      </c>
      <c r="P351">
        <v>4.1580000000000004</v>
      </c>
      <c r="Q351">
        <v>119.53</v>
      </c>
      <c r="R351">
        <v>42.255000000000003</v>
      </c>
      <c r="S351">
        <v>140.62</v>
      </c>
    </row>
    <row r="352" spans="1:19" x14ac:dyDescent="0.3">
      <c r="A352" s="2">
        <v>44413</v>
      </c>
      <c r="B352">
        <v>82</v>
      </c>
      <c r="C352">
        <v>104.57</v>
      </c>
      <c r="D352">
        <v>125.64</v>
      </c>
      <c r="E352">
        <v>130.15</v>
      </c>
      <c r="F352">
        <v>117.69</v>
      </c>
      <c r="G352">
        <v>69.09</v>
      </c>
      <c r="H352">
        <v>71.290000000000006</v>
      </c>
      <c r="I352">
        <v>70.22</v>
      </c>
      <c r="J352">
        <v>57.2</v>
      </c>
      <c r="K352">
        <v>15</v>
      </c>
      <c r="L352">
        <v>68371.23</v>
      </c>
      <c r="M352">
        <v>57841.68</v>
      </c>
      <c r="N352">
        <v>15.4</v>
      </c>
      <c r="O352">
        <v>6.8879999999999997E-2</v>
      </c>
      <c r="P352">
        <v>4.1399999999999997</v>
      </c>
      <c r="Q352">
        <v>119.42</v>
      </c>
      <c r="R352">
        <v>42.9</v>
      </c>
      <c r="S352">
        <v>139.6</v>
      </c>
    </row>
    <row r="353" spans="1:19" x14ac:dyDescent="0.3">
      <c r="A353" s="2">
        <v>44414</v>
      </c>
      <c r="B353">
        <v>82.66</v>
      </c>
      <c r="C353">
        <v>104.82</v>
      </c>
      <c r="D353">
        <v>125.73</v>
      </c>
      <c r="E353">
        <v>133.49</v>
      </c>
      <c r="F353">
        <v>120.14</v>
      </c>
      <c r="G353">
        <v>68.28</v>
      </c>
      <c r="H353">
        <v>70.7</v>
      </c>
      <c r="I353">
        <v>69.739999999999995</v>
      </c>
      <c r="J353">
        <v>57.86</v>
      </c>
      <c r="K353">
        <v>15.06</v>
      </c>
      <c r="L353">
        <v>68673.95</v>
      </c>
      <c r="M353">
        <v>55672.480000000003</v>
      </c>
      <c r="N353">
        <v>15.7</v>
      </c>
      <c r="O353">
        <v>6.8459999999999993E-2</v>
      </c>
      <c r="P353">
        <v>4.1399999999999997</v>
      </c>
      <c r="Q353">
        <v>120</v>
      </c>
      <c r="R353">
        <v>43.12</v>
      </c>
      <c r="S353">
        <v>139.87</v>
      </c>
    </row>
    <row r="354" spans="1:19" x14ac:dyDescent="0.3">
      <c r="A354" s="2">
        <v>44417</v>
      </c>
      <c r="B354">
        <v>82.66</v>
      </c>
      <c r="C354">
        <v>104.82</v>
      </c>
      <c r="D354">
        <v>125.73</v>
      </c>
      <c r="E354">
        <v>133.49</v>
      </c>
      <c r="F354">
        <v>120.14</v>
      </c>
      <c r="G354">
        <v>66.48</v>
      </c>
      <c r="H354">
        <v>69.040000000000006</v>
      </c>
      <c r="I354">
        <v>68.489999999999995</v>
      </c>
      <c r="J354">
        <v>57.2</v>
      </c>
      <c r="K354">
        <v>15.18</v>
      </c>
      <c r="L354">
        <v>68736.904810964072</v>
      </c>
      <c r="M354">
        <v>52972.178374291107</v>
      </c>
      <c r="N354">
        <v>15.76</v>
      </c>
      <c r="O354">
        <v>6.7610000000000003E-2</v>
      </c>
      <c r="P354">
        <v>4.0599999999999996</v>
      </c>
      <c r="Q354">
        <v>119.97</v>
      </c>
      <c r="R354">
        <v>42.784999999999997</v>
      </c>
      <c r="S354">
        <v>138.68</v>
      </c>
    </row>
    <row r="355" spans="1:19" x14ac:dyDescent="0.3">
      <c r="A355" s="2">
        <v>44418</v>
      </c>
      <c r="B355">
        <v>82.66</v>
      </c>
      <c r="C355">
        <v>104.82</v>
      </c>
      <c r="D355">
        <v>125.73</v>
      </c>
      <c r="E355">
        <v>133.49</v>
      </c>
      <c r="F355">
        <v>120.14</v>
      </c>
      <c r="G355">
        <v>68.290000000000006</v>
      </c>
      <c r="H355">
        <v>70.63</v>
      </c>
      <c r="I355">
        <v>69.709999999999994</v>
      </c>
      <c r="J355">
        <v>58.18</v>
      </c>
      <c r="K355">
        <v>15.26</v>
      </c>
      <c r="L355">
        <v>69602.039999999994</v>
      </c>
      <c r="M355">
        <v>53518.02</v>
      </c>
      <c r="N355">
        <v>15.8</v>
      </c>
      <c r="O355">
        <v>6.7540000000000003E-2</v>
      </c>
      <c r="P355">
        <v>4.0890000000000004</v>
      </c>
      <c r="Q355">
        <v>119.59</v>
      </c>
      <c r="R355">
        <v>44.655000000000001</v>
      </c>
      <c r="S355">
        <v>136.1</v>
      </c>
    </row>
    <row r="356" spans="1:19" x14ac:dyDescent="0.3">
      <c r="A356" s="2">
        <v>44419</v>
      </c>
      <c r="B356">
        <v>82.66</v>
      </c>
      <c r="C356">
        <v>104.82</v>
      </c>
      <c r="D356">
        <v>125.73</v>
      </c>
      <c r="E356">
        <v>133.49</v>
      </c>
      <c r="F356">
        <v>120.14</v>
      </c>
      <c r="G356">
        <v>69.25</v>
      </c>
      <c r="H356">
        <v>71.44</v>
      </c>
      <c r="I356">
        <v>70.42</v>
      </c>
      <c r="J356">
        <v>58.35</v>
      </c>
      <c r="K356">
        <v>15.4</v>
      </c>
      <c r="L356">
        <v>69617.16</v>
      </c>
      <c r="M356">
        <v>55275.23</v>
      </c>
      <c r="N356">
        <v>15.65</v>
      </c>
      <c r="O356">
        <v>6.8140000000000006E-2</v>
      </c>
      <c r="P356">
        <v>4.0590000000000002</v>
      </c>
      <c r="Q356">
        <v>118.72</v>
      </c>
      <c r="R356">
        <v>45.984999999999999</v>
      </c>
      <c r="S356">
        <v>132.82</v>
      </c>
    </row>
    <row r="357" spans="1:19" x14ac:dyDescent="0.3">
      <c r="A357" s="2">
        <v>44420</v>
      </c>
      <c r="B357">
        <v>82.66</v>
      </c>
      <c r="C357">
        <v>104.82</v>
      </c>
      <c r="D357">
        <v>125.73</v>
      </c>
      <c r="E357">
        <v>133.49</v>
      </c>
      <c r="F357">
        <v>120.14</v>
      </c>
      <c r="G357">
        <v>69.09</v>
      </c>
      <c r="H357">
        <v>71.31</v>
      </c>
      <c r="I357">
        <v>70.44</v>
      </c>
      <c r="J357">
        <v>57.35</v>
      </c>
      <c r="K357">
        <v>15.48</v>
      </c>
      <c r="L357">
        <v>69401.95</v>
      </c>
      <c r="M357">
        <v>53965.82</v>
      </c>
      <c r="N357">
        <v>15.664999999999999</v>
      </c>
      <c r="O357">
        <v>6.7589999999999997E-2</v>
      </c>
      <c r="P357">
        <v>3.9329999999999998</v>
      </c>
      <c r="Q357">
        <v>118.04</v>
      </c>
      <c r="R357">
        <v>45.87</v>
      </c>
      <c r="S357">
        <v>135.18</v>
      </c>
    </row>
    <row r="358" spans="1:19" x14ac:dyDescent="0.3">
      <c r="A358" s="2">
        <v>44421</v>
      </c>
      <c r="B358">
        <v>87.6</v>
      </c>
      <c r="C358">
        <v>108.79</v>
      </c>
      <c r="D358">
        <v>132.07</v>
      </c>
      <c r="E358">
        <v>137.06</v>
      </c>
      <c r="F358">
        <v>120.16</v>
      </c>
      <c r="G358">
        <v>68.44</v>
      </c>
      <c r="H358">
        <v>70.59</v>
      </c>
      <c r="I358">
        <v>70.05</v>
      </c>
      <c r="J358">
        <v>56.77</v>
      </c>
      <c r="K358">
        <v>15.44</v>
      </c>
      <c r="L358">
        <v>69384.759999999995</v>
      </c>
      <c r="M358">
        <v>54569.77</v>
      </c>
      <c r="N358">
        <v>15.654999999999999</v>
      </c>
      <c r="O358">
        <v>6.7849999999999994E-2</v>
      </c>
      <c r="P358">
        <v>3.8610000000000002</v>
      </c>
      <c r="Q358">
        <v>116.88</v>
      </c>
      <c r="R358">
        <v>44.63</v>
      </c>
      <c r="S358">
        <v>136.47999999999999</v>
      </c>
    </row>
    <row r="359" spans="1:19" x14ac:dyDescent="0.3">
      <c r="A359" s="2">
        <v>44424</v>
      </c>
      <c r="B359">
        <v>87.6</v>
      </c>
      <c r="C359">
        <v>108.79</v>
      </c>
      <c r="D359">
        <v>132.07</v>
      </c>
      <c r="E359">
        <v>137.06</v>
      </c>
      <c r="F359">
        <v>120.16</v>
      </c>
      <c r="G359">
        <v>67.290000000000006</v>
      </c>
      <c r="H359">
        <v>69.510000000000005</v>
      </c>
      <c r="I359">
        <v>69.53</v>
      </c>
      <c r="J359">
        <v>55.94</v>
      </c>
      <c r="K359">
        <v>15.68</v>
      </c>
      <c r="L359">
        <v>68824.7</v>
      </c>
      <c r="M359">
        <v>54863.08</v>
      </c>
      <c r="N359">
        <v>17.989999999999998</v>
      </c>
      <c r="O359">
        <v>6.7349999999999993E-2</v>
      </c>
      <c r="P359">
        <v>3.9460000000000002</v>
      </c>
      <c r="Q359">
        <v>118.04</v>
      </c>
      <c r="R359">
        <v>47.99</v>
      </c>
      <c r="S359">
        <v>135.62</v>
      </c>
    </row>
    <row r="360" spans="1:19" x14ac:dyDescent="0.3">
      <c r="A360" s="2">
        <v>44425</v>
      </c>
      <c r="B360">
        <v>87.6</v>
      </c>
      <c r="C360">
        <v>108.79</v>
      </c>
      <c r="D360">
        <v>132.07</v>
      </c>
      <c r="E360">
        <v>137.06</v>
      </c>
      <c r="F360">
        <v>120.16</v>
      </c>
      <c r="G360">
        <v>66.59</v>
      </c>
      <c r="H360">
        <v>69.03</v>
      </c>
      <c r="I360">
        <v>69.33</v>
      </c>
      <c r="J360">
        <v>55.56</v>
      </c>
      <c r="K360">
        <v>15.38</v>
      </c>
      <c r="L360">
        <v>68939.839999999997</v>
      </c>
      <c r="M360">
        <v>56189.04</v>
      </c>
      <c r="N360">
        <v>17.48</v>
      </c>
      <c r="O360">
        <v>6.7049999999999998E-2</v>
      </c>
      <c r="P360">
        <v>3.8370000000000002</v>
      </c>
      <c r="Q360">
        <v>117.61</v>
      </c>
      <c r="R360">
        <v>46.95</v>
      </c>
      <c r="S360">
        <v>135.52000000000001</v>
      </c>
    </row>
    <row r="361" spans="1:19" x14ac:dyDescent="0.3">
      <c r="A361" s="2">
        <v>44426</v>
      </c>
      <c r="B361">
        <v>87.6</v>
      </c>
      <c r="C361">
        <v>108.79</v>
      </c>
      <c r="D361">
        <v>132.07</v>
      </c>
      <c r="E361">
        <v>137.06</v>
      </c>
      <c r="F361">
        <v>120.16</v>
      </c>
      <c r="G361">
        <v>65.459999999999994</v>
      </c>
      <c r="H361">
        <v>68.23</v>
      </c>
      <c r="I361">
        <v>68.95</v>
      </c>
      <c r="J361">
        <v>54.39</v>
      </c>
      <c r="K361">
        <v>15.32</v>
      </c>
      <c r="L361">
        <v>67905.679999999993</v>
      </c>
      <c r="M361">
        <v>54511.48</v>
      </c>
      <c r="N361">
        <v>16.77</v>
      </c>
      <c r="O361">
        <v>6.6869999999999999E-2</v>
      </c>
      <c r="P361">
        <v>3.8519999999999999</v>
      </c>
      <c r="Q361">
        <v>115.39</v>
      </c>
      <c r="R361">
        <v>45.384999999999998</v>
      </c>
      <c r="S361">
        <v>134.66999999999999</v>
      </c>
    </row>
    <row r="362" spans="1:19" x14ac:dyDescent="0.3">
      <c r="A362" s="2">
        <v>44427</v>
      </c>
      <c r="B362">
        <v>87.6</v>
      </c>
      <c r="C362">
        <v>108.79</v>
      </c>
      <c r="D362">
        <v>132.07</v>
      </c>
      <c r="E362">
        <v>137.06</v>
      </c>
      <c r="F362">
        <v>120.16</v>
      </c>
      <c r="G362">
        <v>63.69</v>
      </c>
      <c r="H362">
        <v>66.45</v>
      </c>
      <c r="I362">
        <v>68.03</v>
      </c>
      <c r="J362">
        <v>52.73</v>
      </c>
      <c r="K362">
        <v>15.12</v>
      </c>
      <c r="L362">
        <v>66113.48</v>
      </c>
      <c r="M362">
        <v>52479.040000000001</v>
      </c>
      <c r="N362">
        <v>15.18</v>
      </c>
      <c r="O362">
        <v>6.5720000000000001E-2</v>
      </c>
      <c r="P362">
        <v>3.83</v>
      </c>
      <c r="Q362">
        <v>116.38</v>
      </c>
      <c r="R362">
        <v>40.395000000000003</v>
      </c>
      <c r="S362">
        <v>141.61602674307539</v>
      </c>
    </row>
    <row r="363" spans="1:19" x14ac:dyDescent="0.3">
      <c r="A363" s="2">
        <v>44428</v>
      </c>
      <c r="B363">
        <v>88.46</v>
      </c>
      <c r="C363">
        <v>110.86</v>
      </c>
      <c r="D363">
        <v>133.05000000000001</v>
      </c>
      <c r="E363">
        <v>139.82</v>
      </c>
      <c r="F363">
        <v>125.12</v>
      </c>
      <c r="G363">
        <v>62.32</v>
      </c>
      <c r="H363">
        <v>65.180000000000007</v>
      </c>
      <c r="I363">
        <v>67.599999999999994</v>
      </c>
      <c r="J363">
        <v>52.74</v>
      </c>
      <c r="K363">
        <v>14.82</v>
      </c>
      <c r="L363">
        <v>66011.06</v>
      </c>
      <c r="M363">
        <v>51063.34</v>
      </c>
      <c r="N363">
        <v>15.574999999999999</v>
      </c>
      <c r="O363">
        <v>6.5320000000000003E-2</v>
      </c>
      <c r="P363">
        <v>3.851</v>
      </c>
      <c r="Q363">
        <v>117.15</v>
      </c>
      <c r="R363">
        <v>41.944000000000003</v>
      </c>
      <c r="S363">
        <v>133.82</v>
      </c>
    </row>
    <row r="364" spans="1:19" x14ac:dyDescent="0.3">
      <c r="A364" s="2">
        <v>44431</v>
      </c>
      <c r="B364">
        <v>88.46</v>
      </c>
      <c r="C364">
        <v>110.86</v>
      </c>
      <c r="D364">
        <v>133.05000000000001</v>
      </c>
      <c r="E364">
        <v>139.82</v>
      </c>
      <c r="F364">
        <v>125.12</v>
      </c>
      <c r="G364">
        <v>65.64</v>
      </c>
      <c r="H364">
        <v>68.75</v>
      </c>
      <c r="I364">
        <v>68.760000000000005</v>
      </c>
      <c r="J364">
        <v>54.91</v>
      </c>
      <c r="K364">
        <v>15.44</v>
      </c>
      <c r="L364">
        <v>66829.210000000006</v>
      </c>
      <c r="M364">
        <v>53412.66</v>
      </c>
      <c r="N364">
        <v>16.34</v>
      </c>
      <c r="O364">
        <v>6.6089999999999996E-2</v>
      </c>
      <c r="P364">
        <v>3.9449999999999998</v>
      </c>
      <c r="Q364">
        <v>118.07</v>
      </c>
      <c r="R364">
        <v>41.68</v>
      </c>
      <c r="S364">
        <v>138.83000000000001</v>
      </c>
    </row>
    <row r="365" spans="1:19" x14ac:dyDescent="0.3">
      <c r="A365" s="2">
        <v>44432</v>
      </c>
      <c r="B365">
        <v>88.46</v>
      </c>
      <c r="C365">
        <v>110.86</v>
      </c>
      <c r="D365">
        <v>133.05000000000001</v>
      </c>
      <c r="E365">
        <v>139.82</v>
      </c>
      <c r="F365">
        <v>125.12</v>
      </c>
      <c r="G365">
        <v>67.540000000000006</v>
      </c>
      <c r="H365">
        <v>71.05</v>
      </c>
      <c r="I365">
        <v>69.31</v>
      </c>
      <c r="J365">
        <v>55.36</v>
      </c>
      <c r="K365">
        <v>15.54</v>
      </c>
      <c r="L365">
        <v>67451.539999999994</v>
      </c>
      <c r="M365">
        <v>53767.5</v>
      </c>
      <c r="N365">
        <v>16.850000000000001</v>
      </c>
      <c r="O365">
        <v>6.6589999999999996E-2</v>
      </c>
      <c r="P365">
        <v>3.8959999999999999</v>
      </c>
      <c r="Q365">
        <v>117.4</v>
      </c>
      <c r="R365">
        <v>44.87</v>
      </c>
      <c r="S365">
        <v>143.57</v>
      </c>
    </row>
    <row r="366" spans="1:19" x14ac:dyDescent="0.3">
      <c r="A366" s="2">
        <v>44433</v>
      </c>
      <c r="B366">
        <v>88.46</v>
      </c>
      <c r="C366">
        <v>110.86</v>
      </c>
      <c r="D366">
        <v>133.05000000000001</v>
      </c>
      <c r="E366">
        <v>139.82</v>
      </c>
      <c r="F366">
        <v>125.12</v>
      </c>
      <c r="G366">
        <v>68.36</v>
      </c>
      <c r="H366">
        <v>72.25</v>
      </c>
      <c r="I366">
        <v>69.45</v>
      </c>
      <c r="J366">
        <v>55.46</v>
      </c>
      <c r="K366">
        <v>15.94</v>
      </c>
      <c r="L366">
        <v>67452.86</v>
      </c>
      <c r="M366">
        <v>52141.54</v>
      </c>
      <c r="N366">
        <v>17.03</v>
      </c>
      <c r="O366">
        <v>6.6860000000000003E-2</v>
      </c>
      <c r="P366">
        <v>3.8969999999999998</v>
      </c>
      <c r="Q366">
        <v>117.3</v>
      </c>
      <c r="R366">
        <v>45.284999999999997</v>
      </c>
      <c r="S366">
        <v>143.05000000000001</v>
      </c>
    </row>
    <row r="367" spans="1:19" x14ac:dyDescent="0.3">
      <c r="A367" s="2">
        <v>44434</v>
      </c>
      <c r="B367">
        <v>88.46</v>
      </c>
      <c r="C367">
        <v>110.86</v>
      </c>
      <c r="D367">
        <v>133.05000000000001</v>
      </c>
      <c r="E367">
        <v>139.82</v>
      </c>
      <c r="F367">
        <v>125.12</v>
      </c>
      <c r="G367">
        <v>67.42</v>
      </c>
      <c r="H367">
        <v>71.069999999999993</v>
      </c>
      <c r="I367">
        <v>69.239999999999995</v>
      </c>
      <c r="J367">
        <v>54.71</v>
      </c>
      <c r="K367">
        <v>15.94</v>
      </c>
      <c r="L367">
        <v>67068.740000000005</v>
      </c>
      <c r="M367">
        <v>52390.3</v>
      </c>
      <c r="N367">
        <v>17.245000000000001</v>
      </c>
      <c r="O367">
        <v>6.6879999999999995E-2</v>
      </c>
      <c r="P367">
        <v>4.1840000000000002</v>
      </c>
      <c r="Q367">
        <v>117.55</v>
      </c>
      <c r="R367">
        <v>45.79</v>
      </c>
      <c r="S367">
        <v>146.91999999999999</v>
      </c>
    </row>
    <row r="368" spans="1:19" x14ac:dyDescent="0.3">
      <c r="A368" s="2">
        <v>44435</v>
      </c>
      <c r="B368">
        <v>89.14</v>
      </c>
      <c r="C368">
        <v>113.48</v>
      </c>
      <c r="D368">
        <v>135.76</v>
      </c>
      <c r="E368">
        <v>142.09</v>
      </c>
      <c r="F368">
        <v>126.11</v>
      </c>
      <c r="G368">
        <v>68.739999999999995</v>
      </c>
      <c r="H368">
        <v>72.7</v>
      </c>
      <c r="I368">
        <v>69.44</v>
      </c>
      <c r="J368">
        <v>55.77</v>
      </c>
      <c r="K368">
        <v>16.100000000000001</v>
      </c>
      <c r="L368">
        <v>67646.080000000002</v>
      </c>
      <c r="M368">
        <v>53967.46</v>
      </c>
      <c r="N368">
        <v>17.7</v>
      </c>
      <c r="O368">
        <v>6.7830000000000001E-2</v>
      </c>
      <c r="P368">
        <v>4.37</v>
      </c>
      <c r="Q368">
        <v>118.41</v>
      </c>
      <c r="R368">
        <v>47.805999999999997</v>
      </c>
      <c r="S368">
        <v>144.62</v>
      </c>
    </row>
    <row r="369" spans="1:19" x14ac:dyDescent="0.3">
      <c r="A369" s="2">
        <v>44438</v>
      </c>
      <c r="B369">
        <v>87.953183520599239</v>
      </c>
      <c r="C369">
        <v>113.3531554307116</v>
      </c>
      <c r="D369">
        <v>134.97180711610491</v>
      </c>
      <c r="E369">
        <v>142.09</v>
      </c>
      <c r="F369">
        <v>123.75970973782771</v>
      </c>
      <c r="G369">
        <v>69.209999999999994</v>
      </c>
      <c r="H369">
        <v>73.41</v>
      </c>
      <c r="I369">
        <v>69.459999999999994</v>
      </c>
      <c r="J369">
        <v>55.16</v>
      </c>
      <c r="K369">
        <v>16.38</v>
      </c>
      <c r="L369">
        <v>67064.69</v>
      </c>
      <c r="M369">
        <v>52905.08</v>
      </c>
      <c r="N369">
        <v>17.72</v>
      </c>
      <c r="O369">
        <v>6.8129999999999996E-2</v>
      </c>
      <c r="P369">
        <v>4.3049999999999997</v>
      </c>
      <c r="Q369">
        <v>119.36</v>
      </c>
      <c r="R369">
        <v>49.68</v>
      </c>
      <c r="S369">
        <v>160.02000000000001</v>
      </c>
    </row>
    <row r="370" spans="1:19" x14ac:dyDescent="0.3">
      <c r="A370" s="2">
        <v>44439</v>
      </c>
      <c r="B370">
        <v>89.14</v>
      </c>
      <c r="C370">
        <v>113.48</v>
      </c>
      <c r="D370">
        <v>135.76</v>
      </c>
      <c r="E370">
        <v>142.09</v>
      </c>
      <c r="F370">
        <v>126.11</v>
      </c>
      <c r="G370">
        <v>68.5</v>
      </c>
      <c r="H370">
        <v>72.989999999999995</v>
      </c>
      <c r="I370">
        <v>69.489999999999995</v>
      </c>
      <c r="J370">
        <v>54.52</v>
      </c>
      <c r="K370">
        <v>17.22</v>
      </c>
      <c r="L370">
        <v>67427.929999999993</v>
      </c>
      <c r="M370">
        <v>53105.97</v>
      </c>
      <c r="N370">
        <v>18.22</v>
      </c>
      <c r="O370">
        <v>6.8839999999999998E-2</v>
      </c>
      <c r="P370">
        <v>4.3769999999999998</v>
      </c>
      <c r="Q370">
        <v>119.53</v>
      </c>
      <c r="R370">
        <v>50.34</v>
      </c>
      <c r="S370">
        <v>168.28</v>
      </c>
    </row>
    <row r="371" spans="1:19" x14ac:dyDescent="0.3">
      <c r="A371" s="2">
        <v>44440</v>
      </c>
      <c r="B371">
        <v>89.14</v>
      </c>
      <c r="C371">
        <v>113.48</v>
      </c>
      <c r="D371">
        <v>135.76</v>
      </c>
      <c r="E371">
        <v>142.09</v>
      </c>
      <c r="F371">
        <v>126.11</v>
      </c>
      <c r="G371">
        <v>68.59</v>
      </c>
      <c r="H371">
        <v>71.59</v>
      </c>
      <c r="I371">
        <v>69.92</v>
      </c>
      <c r="J371">
        <v>53.77</v>
      </c>
      <c r="K371">
        <v>16.8</v>
      </c>
      <c r="L371">
        <v>66976.05</v>
      </c>
      <c r="M371">
        <v>52385.68</v>
      </c>
      <c r="N371">
        <v>18.02</v>
      </c>
      <c r="O371">
        <v>6.9330000000000003E-2</v>
      </c>
      <c r="P371">
        <v>4.6150000000000002</v>
      </c>
      <c r="Q371">
        <v>120.62</v>
      </c>
      <c r="R371">
        <v>50.23</v>
      </c>
      <c r="S371">
        <v>186.77</v>
      </c>
    </row>
    <row r="372" spans="1:19" x14ac:dyDescent="0.3">
      <c r="A372" s="2">
        <v>44441</v>
      </c>
      <c r="B372">
        <v>89.14</v>
      </c>
      <c r="C372">
        <v>113.48</v>
      </c>
      <c r="D372">
        <v>135.76</v>
      </c>
      <c r="E372">
        <v>142.09</v>
      </c>
      <c r="F372">
        <v>126.11</v>
      </c>
      <c r="G372">
        <v>69.989999999999995</v>
      </c>
      <c r="H372">
        <v>73.03</v>
      </c>
      <c r="I372">
        <v>71.22</v>
      </c>
      <c r="J372">
        <v>55.08</v>
      </c>
      <c r="K372">
        <v>16.98</v>
      </c>
      <c r="L372">
        <v>66654.240000000005</v>
      </c>
      <c r="M372">
        <v>49981.79</v>
      </c>
      <c r="N372">
        <v>18.46</v>
      </c>
      <c r="O372">
        <v>6.9120000000000001E-2</v>
      </c>
      <c r="P372">
        <v>4.641</v>
      </c>
      <c r="Q372">
        <v>120.73</v>
      </c>
      <c r="R372">
        <v>51.914999999999999</v>
      </c>
      <c r="S372">
        <v>188.87</v>
      </c>
    </row>
    <row r="373" spans="1:19" x14ac:dyDescent="0.3">
      <c r="A373" s="2">
        <v>44442</v>
      </c>
      <c r="B373">
        <v>95.79</v>
      </c>
      <c r="C373">
        <v>120.49</v>
      </c>
      <c r="D373">
        <v>144.6</v>
      </c>
      <c r="E373">
        <v>148.85</v>
      </c>
      <c r="F373">
        <v>130.82</v>
      </c>
      <c r="G373">
        <v>69.290000000000006</v>
      </c>
      <c r="H373">
        <v>72.61</v>
      </c>
      <c r="I373">
        <v>70.64</v>
      </c>
      <c r="J373">
        <v>54.87</v>
      </c>
      <c r="K373">
        <v>17.239999999999998</v>
      </c>
      <c r="L373">
        <v>66371.850000000006</v>
      </c>
      <c r="M373">
        <v>51120.68</v>
      </c>
      <c r="N373">
        <v>18.46</v>
      </c>
      <c r="O373">
        <v>6.9769999999999999E-2</v>
      </c>
      <c r="P373">
        <v>4.7119999999999997</v>
      </c>
      <c r="Q373">
        <v>121.13</v>
      </c>
      <c r="R373">
        <v>51.505000000000003</v>
      </c>
      <c r="S373">
        <v>179.75</v>
      </c>
    </row>
    <row r="374" spans="1:19" x14ac:dyDescent="0.3">
      <c r="A374" s="2">
        <v>44445</v>
      </c>
      <c r="B374">
        <v>95.79</v>
      </c>
      <c r="C374">
        <v>120.49</v>
      </c>
      <c r="D374">
        <v>144.6</v>
      </c>
      <c r="E374">
        <v>148.85</v>
      </c>
      <c r="F374">
        <v>130.82</v>
      </c>
      <c r="G374">
        <v>68.8</v>
      </c>
      <c r="H374">
        <v>72.22</v>
      </c>
      <c r="I374">
        <v>74.752492970946577</v>
      </c>
      <c r="J374">
        <v>80.871012183692585</v>
      </c>
      <c r="K374">
        <v>17.78</v>
      </c>
      <c r="L374">
        <v>66253.8</v>
      </c>
      <c r="M374">
        <v>49296.09</v>
      </c>
      <c r="N374">
        <v>17.62252908067542</v>
      </c>
      <c r="O374">
        <v>7.0220000000000005E-2</v>
      </c>
      <c r="P374">
        <v>4.6929999999999996</v>
      </c>
      <c r="Q374">
        <v>112.7561105904405</v>
      </c>
      <c r="R374">
        <v>57.384855947955387</v>
      </c>
      <c r="S374">
        <v>187.05</v>
      </c>
    </row>
    <row r="375" spans="1:19" x14ac:dyDescent="0.3">
      <c r="A375" s="2">
        <v>44446</v>
      </c>
      <c r="B375">
        <v>95.79</v>
      </c>
      <c r="C375">
        <v>120.49</v>
      </c>
      <c r="D375">
        <v>144.6</v>
      </c>
      <c r="E375">
        <v>148.85</v>
      </c>
      <c r="F375">
        <v>130.82</v>
      </c>
      <c r="G375">
        <v>68.349999999999994</v>
      </c>
      <c r="H375">
        <v>71.69</v>
      </c>
      <c r="I375">
        <v>69.709999999999994</v>
      </c>
      <c r="J375">
        <v>54.55</v>
      </c>
      <c r="K375">
        <v>18.100000000000001</v>
      </c>
      <c r="L375">
        <v>66514.91</v>
      </c>
      <c r="M375">
        <v>49111.81</v>
      </c>
      <c r="N375">
        <v>18.684999999999999</v>
      </c>
      <c r="O375">
        <v>6.9830000000000003E-2</v>
      </c>
      <c r="P375">
        <v>4.5679999999999996</v>
      </c>
      <c r="Q375">
        <v>118.74</v>
      </c>
      <c r="R375">
        <v>53.91</v>
      </c>
      <c r="S375">
        <v>190.33</v>
      </c>
    </row>
    <row r="376" spans="1:19" x14ac:dyDescent="0.3">
      <c r="A376" s="2">
        <v>44447</v>
      </c>
      <c r="B376">
        <v>95.79</v>
      </c>
      <c r="C376">
        <v>120.49</v>
      </c>
      <c r="D376">
        <v>144.6</v>
      </c>
      <c r="E376">
        <v>148.85</v>
      </c>
      <c r="F376">
        <v>130.82</v>
      </c>
      <c r="G376">
        <v>69.3</v>
      </c>
      <c r="H376">
        <v>72.599999999999994</v>
      </c>
      <c r="I376">
        <v>70.38</v>
      </c>
      <c r="J376">
        <v>54.05</v>
      </c>
      <c r="K376">
        <v>18</v>
      </c>
      <c r="L376">
        <v>65525.35</v>
      </c>
      <c r="M376">
        <v>47572.97</v>
      </c>
      <c r="N376">
        <v>18.649999999999999</v>
      </c>
      <c r="O376">
        <v>7.0440000000000003E-2</v>
      </c>
      <c r="P376">
        <v>4.9139999999999997</v>
      </c>
      <c r="Q376">
        <v>119.74</v>
      </c>
      <c r="R376">
        <v>55.29</v>
      </c>
      <c r="S376">
        <v>197</v>
      </c>
    </row>
    <row r="377" spans="1:19" x14ac:dyDescent="0.3">
      <c r="A377" s="2">
        <v>44448</v>
      </c>
      <c r="B377">
        <v>95.79</v>
      </c>
      <c r="C377">
        <v>120.49</v>
      </c>
      <c r="D377">
        <v>144.6</v>
      </c>
      <c r="E377">
        <v>148.85</v>
      </c>
      <c r="F377">
        <v>130.82</v>
      </c>
      <c r="G377">
        <v>68.14</v>
      </c>
      <c r="H377">
        <v>71.45</v>
      </c>
      <c r="I377">
        <v>69.63</v>
      </c>
      <c r="J377">
        <v>54.09</v>
      </c>
      <c r="K377">
        <v>18.46</v>
      </c>
      <c r="L377">
        <v>64176.53</v>
      </c>
      <c r="M377">
        <v>45804.4</v>
      </c>
      <c r="N377">
        <v>18.625</v>
      </c>
      <c r="O377">
        <v>7.0319999999999994E-2</v>
      </c>
      <c r="P377">
        <v>5.0309999999999997</v>
      </c>
      <c r="Q377">
        <v>119.45</v>
      </c>
      <c r="R377">
        <v>56.58</v>
      </c>
      <c r="S377">
        <v>199.62</v>
      </c>
    </row>
    <row r="378" spans="1:19" x14ac:dyDescent="0.3">
      <c r="A378" s="2">
        <v>44449</v>
      </c>
      <c r="B378">
        <v>98.9</v>
      </c>
      <c r="C378">
        <v>124.34</v>
      </c>
      <c r="D378">
        <v>148.35</v>
      </c>
      <c r="E378">
        <v>153.77000000000001</v>
      </c>
      <c r="F378">
        <v>135.88</v>
      </c>
      <c r="G378">
        <v>69.72</v>
      </c>
      <c r="H378">
        <v>72.92</v>
      </c>
      <c r="I378">
        <v>70.7</v>
      </c>
      <c r="J378">
        <v>53.98</v>
      </c>
      <c r="K378">
        <v>18.38</v>
      </c>
      <c r="L378">
        <v>64296.06</v>
      </c>
      <c r="M378">
        <v>45226.87</v>
      </c>
      <c r="N378">
        <v>18.649999999999999</v>
      </c>
      <c r="O378">
        <v>7.0319999999999994E-2</v>
      </c>
      <c r="P378">
        <v>4.9379999999999997</v>
      </c>
      <c r="Q378">
        <v>118.84</v>
      </c>
      <c r="R378">
        <v>57.915999999999997</v>
      </c>
      <c r="S378">
        <v>141.61602674307539</v>
      </c>
    </row>
    <row r="379" spans="1:19" x14ac:dyDescent="0.3">
      <c r="A379" s="2">
        <v>44452</v>
      </c>
      <c r="B379">
        <v>98.9</v>
      </c>
      <c r="C379">
        <v>124.34</v>
      </c>
      <c r="D379">
        <v>148.35</v>
      </c>
      <c r="E379">
        <v>153.77000000000001</v>
      </c>
      <c r="F379">
        <v>135.88</v>
      </c>
      <c r="G379">
        <v>70.45</v>
      </c>
      <c r="H379">
        <v>73.510000000000005</v>
      </c>
      <c r="I379">
        <v>71.11</v>
      </c>
      <c r="J379">
        <v>55.37</v>
      </c>
      <c r="K379">
        <v>19.079999999999998</v>
      </c>
      <c r="L379">
        <v>64652.32</v>
      </c>
      <c r="M379">
        <v>46596.46</v>
      </c>
      <c r="N379">
        <v>18.82</v>
      </c>
      <c r="O379">
        <v>7.0650000000000004E-2</v>
      </c>
      <c r="P379">
        <v>5.2309999999999999</v>
      </c>
      <c r="Q379">
        <v>118.55</v>
      </c>
      <c r="R379">
        <v>61.28</v>
      </c>
      <c r="S379">
        <v>197.58</v>
      </c>
    </row>
    <row r="380" spans="1:19" x14ac:dyDescent="0.3">
      <c r="A380" s="2">
        <v>44453</v>
      </c>
      <c r="B380">
        <v>98.9</v>
      </c>
      <c r="C380">
        <v>124.34</v>
      </c>
      <c r="D380">
        <v>148.35</v>
      </c>
      <c r="E380">
        <v>153.77000000000001</v>
      </c>
      <c r="F380">
        <v>135.88</v>
      </c>
      <c r="G380">
        <v>70.459999999999994</v>
      </c>
      <c r="H380">
        <v>73.599999999999994</v>
      </c>
      <c r="I380">
        <v>71.19</v>
      </c>
      <c r="J380">
        <v>54.58</v>
      </c>
      <c r="K380">
        <v>18.579999999999998</v>
      </c>
      <c r="L380">
        <v>64300.46</v>
      </c>
      <c r="M380">
        <v>45878.78</v>
      </c>
      <c r="N380">
        <v>18.934999999999999</v>
      </c>
      <c r="O380">
        <v>6.9760000000000003E-2</v>
      </c>
      <c r="P380">
        <v>5.26</v>
      </c>
      <c r="Q380">
        <v>119.26</v>
      </c>
      <c r="R380">
        <v>65.765000000000001</v>
      </c>
      <c r="S380">
        <v>195.43</v>
      </c>
    </row>
    <row r="381" spans="1:19" x14ac:dyDescent="0.3">
      <c r="A381" s="2">
        <v>44454</v>
      </c>
      <c r="B381">
        <v>98.9</v>
      </c>
      <c r="C381">
        <v>124.34</v>
      </c>
      <c r="D381">
        <v>148.35</v>
      </c>
      <c r="E381">
        <v>153.77000000000001</v>
      </c>
      <c r="F381">
        <v>135.88</v>
      </c>
      <c r="G381">
        <v>72.61</v>
      </c>
      <c r="H381">
        <v>75.459999999999994</v>
      </c>
      <c r="I381">
        <v>72.09</v>
      </c>
      <c r="J381">
        <v>56.42</v>
      </c>
      <c r="K381">
        <v>18.52</v>
      </c>
      <c r="L381">
        <v>64385.13</v>
      </c>
      <c r="M381">
        <v>46059.41</v>
      </c>
      <c r="N381">
        <v>19.018999999999998</v>
      </c>
      <c r="O381">
        <v>6.9339999999999999E-2</v>
      </c>
      <c r="P381">
        <v>5.46</v>
      </c>
      <c r="Q381">
        <v>118.76</v>
      </c>
      <c r="R381">
        <v>70.704999999999998</v>
      </c>
      <c r="S381">
        <v>199.73</v>
      </c>
    </row>
    <row r="382" spans="1:19" x14ac:dyDescent="0.3">
      <c r="A382" s="2">
        <v>44455</v>
      </c>
      <c r="B382">
        <v>98.9</v>
      </c>
      <c r="C382">
        <v>124.34</v>
      </c>
      <c r="D382">
        <v>148.35</v>
      </c>
      <c r="E382">
        <v>153.77000000000001</v>
      </c>
      <c r="F382">
        <v>135.88</v>
      </c>
      <c r="G382">
        <v>72.61</v>
      </c>
      <c r="H382">
        <v>75.67</v>
      </c>
      <c r="I382">
        <v>72.069999999999993</v>
      </c>
      <c r="J382">
        <v>55.82</v>
      </c>
      <c r="K382">
        <v>18.18</v>
      </c>
      <c r="L382">
        <v>63313.75</v>
      </c>
      <c r="M382">
        <v>43901.36</v>
      </c>
      <c r="N382">
        <v>23.42</v>
      </c>
      <c r="O382">
        <v>6.8459999999999993E-2</v>
      </c>
      <c r="P382">
        <v>5.335</v>
      </c>
      <c r="Q382">
        <v>118.93</v>
      </c>
      <c r="R382">
        <v>63.25</v>
      </c>
      <c r="S382">
        <v>203.05</v>
      </c>
    </row>
    <row r="383" spans="1:19" x14ac:dyDescent="0.3">
      <c r="A383" s="2">
        <v>44456</v>
      </c>
      <c r="B383">
        <v>100.79</v>
      </c>
      <c r="C383">
        <v>126.75</v>
      </c>
      <c r="D383">
        <v>149.79</v>
      </c>
      <c r="E383">
        <v>158.69999999999999</v>
      </c>
      <c r="F383">
        <v>138.5</v>
      </c>
      <c r="G383">
        <v>71.97</v>
      </c>
      <c r="H383">
        <v>75.34</v>
      </c>
      <c r="I383">
        <v>71.92</v>
      </c>
      <c r="J383">
        <v>55.16</v>
      </c>
      <c r="K383">
        <v>17.579999999999998</v>
      </c>
      <c r="L383">
        <v>62863.64</v>
      </c>
      <c r="M383">
        <v>44201.63</v>
      </c>
      <c r="N383">
        <v>25</v>
      </c>
      <c r="O383">
        <v>6.8040000000000003E-2</v>
      </c>
      <c r="P383">
        <v>5.1050000000000004</v>
      </c>
      <c r="Q383">
        <v>117.7</v>
      </c>
      <c r="R383">
        <v>65.102999999999994</v>
      </c>
      <c r="S383">
        <v>199.58</v>
      </c>
    </row>
    <row r="384" spans="1:19" x14ac:dyDescent="0.3">
      <c r="A384" s="2">
        <v>44459</v>
      </c>
      <c r="B384">
        <v>100.79</v>
      </c>
      <c r="C384">
        <v>126.75</v>
      </c>
      <c r="D384">
        <v>149.79</v>
      </c>
      <c r="E384">
        <v>158.69999999999999</v>
      </c>
      <c r="F384">
        <v>138.5</v>
      </c>
      <c r="G384">
        <v>70.290000000000006</v>
      </c>
      <c r="H384">
        <v>73.92</v>
      </c>
      <c r="I384">
        <v>71.36</v>
      </c>
      <c r="J384">
        <v>53.69</v>
      </c>
      <c r="K384">
        <v>17.04</v>
      </c>
      <c r="L384">
        <v>61453.42</v>
      </c>
      <c r="M384">
        <v>44289.19</v>
      </c>
      <c r="N384">
        <v>27.184999999999999</v>
      </c>
      <c r="O384">
        <v>6.7570000000000005E-2</v>
      </c>
      <c r="P384">
        <v>4.9850000000000003</v>
      </c>
      <c r="Q384">
        <v>116.83</v>
      </c>
      <c r="R384">
        <v>75.314999999999998</v>
      </c>
      <c r="S384">
        <v>194.17</v>
      </c>
    </row>
    <row r="385" spans="1:19" x14ac:dyDescent="0.3">
      <c r="A385" s="2">
        <v>44460</v>
      </c>
      <c r="B385">
        <v>100.79</v>
      </c>
      <c r="C385">
        <v>126.75</v>
      </c>
      <c r="D385">
        <v>149.79</v>
      </c>
      <c r="E385">
        <v>158.69999999999999</v>
      </c>
      <c r="F385">
        <v>138.5</v>
      </c>
      <c r="G385">
        <v>70.56</v>
      </c>
      <c r="H385">
        <v>74.36</v>
      </c>
      <c r="I385">
        <v>71.569999999999993</v>
      </c>
      <c r="J385">
        <v>53.64</v>
      </c>
      <c r="K385">
        <v>17.239999999999998</v>
      </c>
      <c r="L385">
        <v>62362.18</v>
      </c>
      <c r="M385">
        <v>44560.22</v>
      </c>
      <c r="N385">
        <v>27.524999999999999</v>
      </c>
      <c r="O385">
        <v>6.7390000000000005E-2</v>
      </c>
      <c r="P385">
        <v>4.8049999999999997</v>
      </c>
      <c r="Q385">
        <v>116.74</v>
      </c>
      <c r="R385">
        <v>73.78</v>
      </c>
      <c r="S385">
        <v>194.58</v>
      </c>
    </row>
    <row r="386" spans="1:19" x14ac:dyDescent="0.3">
      <c r="A386" s="2">
        <v>44461</v>
      </c>
      <c r="B386">
        <v>100.79</v>
      </c>
      <c r="C386">
        <v>126.75</v>
      </c>
      <c r="D386">
        <v>149.79</v>
      </c>
      <c r="E386">
        <v>158.69999999999999</v>
      </c>
      <c r="F386">
        <v>138.5</v>
      </c>
      <c r="G386">
        <v>72.23</v>
      </c>
      <c r="H386">
        <v>76.19</v>
      </c>
      <c r="I386">
        <v>72.14</v>
      </c>
      <c r="J386">
        <v>55.21</v>
      </c>
      <c r="K386">
        <v>21.274702495201531</v>
      </c>
      <c r="L386">
        <v>63353.05</v>
      </c>
      <c r="M386">
        <v>45597.05</v>
      </c>
      <c r="N386">
        <v>26.975000000000001</v>
      </c>
      <c r="O386">
        <v>6.7540000000000003E-2</v>
      </c>
      <c r="P386">
        <v>4.8049999999999997</v>
      </c>
      <c r="Q386">
        <v>116.91</v>
      </c>
      <c r="R386">
        <v>71.69</v>
      </c>
      <c r="S386">
        <v>200.22</v>
      </c>
    </row>
    <row r="387" spans="1:19" x14ac:dyDescent="0.3">
      <c r="A387" s="2">
        <v>44462</v>
      </c>
      <c r="B387">
        <v>100.79</v>
      </c>
      <c r="C387">
        <v>126.75</v>
      </c>
      <c r="D387">
        <v>149.79</v>
      </c>
      <c r="E387">
        <v>158.69999999999999</v>
      </c>
      <c r="F387">
        <v>138.5</v>
      </c>
      <c r="G387">
        <v>73.3</v>
      </c>
      <c r="H387">
        <v>77.25</v>
      </c>
      <c r="I387">
        <v>72.349999999999994</v>
      </c>
      <c r="J387">
        <v>57.08</v>
      </c>
      <c r="K387">
        <v>17.68</v>
      </c>
      <c r="L387">
        <v>64049.05</v>
      </c>
      <c r="M387">
        <v>45246.01</v>
      </c>
      <c r="N387">
        <v>26.8</v>
      </c>
      <c r="O387">
        <v>6.7780000000000007E-2</v>
      </c>
      <c r="P387">
        <v>4.976</v>
      </c>
      <c r="Q387">
        <v>118.91</v>
      </c>
      <c r="R387">
        <v>69.685000000000002</v>
      </c>
      <c r="S387">
        <v>200.4</v>
      </c>
    </row>
    <row r="388" spans="1:19" x14ac:dyDescent="0.3">
      <c r="A388" s="2">
        <v>44463</v>
      </c>
      <c r="B388">
        <v>104.18</v>
      </c>
      <c r="C388">
        <v>130.63</v>
      </c>
      <c r="D388">
        <v>156.16999999999999</v>
      </c>
      <c r="E388">
        <v>162.24</v>
      </c>
      <c r="F388">
        <v>141.65</v>
      </c>
      <c r="G388">
        <v>73.98</v>
      </c>
      <c r="H388">
        <v>78.09</v>
      </c>
      <c r="I388">
        <v>72.45</v>
      </c>
      <c r="J388">
        <v>57.59</v>
      </c>
      <c r="K388">
        <v>16.760000000000002</v>
      </c>
      <c r="L388">
        <v>68736.904810964072</v>
      </c>
      <c r="M388">
        <v>52972.178374291107</v>
      </c>
      <c r="N388">
        <v>27.495000000000001</v>
      </c>
      <c r="O388">
        <v>6.6790000000000002E-2</v>
      </c>
      <c r="P388">
        <v>5.14</v>
      </c>
      <c r="Q388">
        <v>119.74</v>
      </c>
      <c r="R388">
        <v>70.239999999999995</v>
      </c>
      <c r="S388">
        <v>197.12</v>
      </c>
    </row>
    <row r="389" spans="1:19" x14ac:dyDescent="0.3">
      <c r="A389" s="2">
        <v>44466</v>
      </c>
      <c r="B389">
        <v>104.18</v>
      </c>
      <c r="C389">
        <v>130.63</v>
      </c>
      <c r="D389">
        <v>156.16999999999999</v>
      </c>
      <c r="E389">
        <v>162.24</v>
      </c>
      <c r="F389">
        <v>141.65</v>
      </c>
      <c r="G389">
        <v>75.45</v>
      </c>
      <c r="H389">
        <v>79.53</v>
      </c>
      <c r="I389">
        <v>72.61</v>
      </c>
      <c r="J389">
        <v>59.3</v>
      </c>
      <c r="K389">
        <v>16.84</v>
      </c>
      <c r="L389">
        <v>64197.36</v>
      </c>
      <c r="M389">
        <v>44391.71</v>
      </c>
      <c r="N389">
        <v>29.195</v>
      </c>
      <c r="O389">
        <v>6.6780000000000006E-2</v>
      </c>
      <c r="P389">
        <v>5.7060000000000004</v>
      </c>
      <c r="Q389">
        <v>118.64</v>
      </c>
      <c r="R389">
        <v>76.504999999999995</v>
      </c>
      <c r="S389">
        <v>196.33</v>
      </c>
    </row>
    <row r="390" spans="1:19" x14ac:dyDescent="0.3">
      <c r="A390" s="2">
        <v>44467</v>
      </c>
      <c r="B390">
        <v>104.18</v>
      </c>
      <c r="C390">
        <v>130.63</v>
      </c>
      <c r="D390">
        <v>156.16999999999999</v>
      </c>
      <c r="E390">
        <v>162.24</v>
      </c>
      <c r="F390">
        <v>141.65</v>
      </c>
      <c r="G390">
        <v>75.290000000000006</v>
      </c>
      <c r="H390">
        <v>79.09</v>
      </c>
      <c r="I390">
        <v>72.63</v>
      </c>
      <c r="J390">
        <v>59.92</v>
      </c>
      <c r="K390">
        <v>18.100000000000001</v>
      </c>
      <c r="L390">
        <v>63784.41</v>
      </c>
      <c r="M390">
        <v>43477.11</v>
      </c>
      <c r="N390">
        <v>29.35</v>
      </c>
      <c r="O390">
        <v>6.6189999999999999E-2</v>
      </c>
      <c r="P390">
        <v>5.8410000000000002</v>
      </c>
      <c r="Q390">
        <v>116.55</v>
      </c>
      <c r="R390">
        <v>78.564999999999998</v>
      </c>
      <c r="S390">
        <v>198.78</v>
      </c>
    </row>
    <row r="391" spans="1:19" x14ac:dyDescent="0.3">
      <c r="A391" s="2">
        <v>44468</v>
      </c>
      <c r="B391">
        <v>104.18</v>
      </c>
      <c r="C391">
        <v>130.63</v>
      </c>
      <c r="D391">
        <v>156.16999999999999</v>
      </c>
      <c r="E391">
        <v>162.24</v>
      </c>
      <c r="F391">
        <v>141.65</v>
      </c>
      <c r="G391">
        <v>74.83</v>
      </c>
      <c r="H391">
        <v>78.64</v>
      </c>
      <c r="I391">
        <v>72.569999999999993</v>
      </c>
      <c r="J391">
        <v>59.88</v>
      </c>
      <c r="K391">
        <v>17.559999999999999</v>
      </c>
      <c r="L391">
        <v>64363.66</v>
      </c>
      <c r="M391">
        <v>43281.18</v>
      </c>
      <c r="N391">
        <v>30.004999999999999</v>
      </c>
      <c r="O391">
        <v>6.583E-2</v>
      </c>
      <c r="P391">
        <v>5.4770000000000003</v>
      </c>
      <c r="Q391">
        <v>116.9</v>
      </c>
      <c r="R391">
        <v>86.608999999999995</v>
      </c>
      <c r="S391">
        <v>212.42</v>
      </c>
    </row>
    <row r="392" spans="1:19" x14ac:dyDescent="0.3">
      <c r="A392" s="2">
        <v>44469</v>
      </c>
      <c r="B392">
        <v>104.18</v>
      </c>
      <c r="C392">
        <v>130.63</v>
      </c>
      <c r="D392">
        <v>156.16999999999999</v>
      </c>
      <c r="E392">
        <v>162.24</v>
      </c>
      <c r="F392">
        <v>141.65</v>
      </c>
      <c r="G392">
        <v>75.03</v>
      </c>
      <c r="H392">
        <v>78.52</v>
      </c>
      <c r="I392">
        <v>72.61</v>
      </c>
      <c r="J392">
        <v>58.82</v>
      </c>
      <c r="K392">
        <v>18.22</v>
      </c>
      <c r="L392">
        <v>64281.77</v>
      </c>
      <c r="M392">
        <v>44663.839999999997</v>
      </c>
      <c r="N392">
        <v>31.094999999999999</v>
      </c>
      <c r="O392">
        <v>6.6210000000000005E-2</v>
      </c>
      <c r="P392">
        <v>5.867</v>
      </c>
      <c r="Q392">
        <v>114.82</v>
      </c>
      <c r="R392">
        <v>97.775000000000006</v>
      </c>
      <c r="S392">
        <v>215.32</v>
      </c>
    </row>
    <row r="393" spans="1:19" x14ac:dyDescent="0.3">
      <c r="A393" s="2">
        <v>44470</v>
      </c>
      <c r="B393">
        <v>126.17</v>
      </c>
      <c r="C393">
        <v>155.43</v>
      </c>
      <c r="D393">
        <v>183.7</v>
      </c>
      <c r="E393">
        <v>193.94</v>
      </c>
      <c r="F393">
        <v>160.76</v>
      </c>
      <c r="G393">
        <v>75.88</v>
      </c>
      <c r="H393">
        <v>79.28</v>
      </c>
      <c r="I393">
        <v>76.77</v>
      </c>
      <c r="J393">
        <v>60.93</v>
      </c>
      <c r="K393">
        <v>21.274702495201531</v>
      </c>
      <c r="L393">
        <v>63661.02</v>
      </c>
      <c r="M393">
        <v>44281.81</v>
      </c>
      <c r="N393">
        <v>31.07</v>
      </c>
      <c r="O393">
        <v>6.7140000000000005E-2</v>
      </c>
      <c r="P393">
        <v>5.6189999999999998</v>
      </c>
      <c r="Q393">
        <v>115.4</v>
      </c>
      <c r="R393">
        <v>93.625</v>
      </c>
      <c r="S393">
        <v>206.78</v>
      </c>
    </row>
    <row r="394" spans="1:19" x14ac:dyDescent="0.3">
      <c r="A394" s="2">
        <v>44473</v>
      </c>
      <c r="B394">
        <v>126.17</v>
      </c>
      <c r="C394">
        <v>155.43</v>
      </c>
      <c r="D394">
        <v>183.7</v>
      </c>
      <c r="E394">
        <v>193.94</v>
      </c>
      <c r="F394">
        <v>160.76</v>
      </c>
      <c r="G394">
        <v>77.62</v>
      </c>
      <c r="H394">
        <v>81.260000000000005</v>
      </c>
      <c r="I394">
        <v>78.52</v>
      </c>
      <c r="J394">
        <v>61.72</v>
      </c>
      <c r="K394">
        <v>18.38</v>
      </c>
      <c r="L394">
        <v>64129</v>
      </c>
      <c r="M394">
        <v>45901.56</v>
      </c>
      <c r="N394">
        <v>31.56</v>
      </c>
      <c r="O394">
        <v>6.6439999999999999E-2</v>
      </c>
      <c r="P394">
        <v>5.766</v>
      </c>
      <c r="Q394">
        <v>114.7</v>
      </c>
      <c r="R394">
        <v>96.65</v>
      </c>
      <c r="S394">
        <v>210.82</v>
      </c>
    </row>
    <row r="395" spans="1:19" x14ac:dyDescent="0.3">
      <c r="A395" s="2">
        <v>44474</v>
      </c>
      <c r="B395">
        <v>126.17</v>
      </c>
      <c r="C395">
        <v>155.43</v>
      </c>
      <c r="D395">
        <v>183.7</v>
      </c>
      <c r="E395">
        <v>193.94</v>
      </c>
      <c r="F395">
        <v>160.76</v>
      </c>
      <c r="G395">
        <v>78.930000000000007</v>
      </c>
      <c r="H395">
        <v>82.56</v>
      </c>
      <c r="I395">
        <v>79.709999999999994</v>
      </c>
      <c r="J395">
        <v>61.62</v>
      </c>
      <c r="K395">
        <v>18.82</v>
      </c>
      <c r="L395">
        <v>64542.87</v>
      </c>
      <c r="M395">
        <v>45198.94</v>
      </c>
      <c r="N395">
        <v>35.064999999999998</v>
      </c>
      <c r="O395">
        <v>6.6650000000000001E-2</v>
      </c>
      <c r="P395">
        <v>6.3120000000000003</v>
      </c>
      <c r="Q395">
        <v>118.08</v>
      </c>
      <c r="R395">
        <v>116.02</v>
      </c>
      <c r="S395">
        <v>210.85</v>
      </c>
    </row>
    <row r="396" spans="1:19" x14ac:dyDescent="0.3">
      <c r="A396" s="2">
        <v>44475</v>
      </c>
      <c r="B396">
        <v>126.17</v>
      </c>
      <c r="C396">
        <v>155.43</v>
      </c>
      <c r="D396">
        <v>183.7</v>
      </c>
      <c r="E396">
        <v>193.94</v>
      </c>
      <c r="F396">
        <v>160.76</v>
      </c>
      <c r="G396">
        <v>77.430000000000007</v>
      </c>
      <c r="H396">
        <v>81.08</v>
      </c>
      <c r="I396">
        <v>78.69</v>
      </c>
      <c r="J396">
        <v>60.49</v>
      </c>
      <c r="K396">
        <v>18.88</v>
      </c>
      <c r="L396">
        <v>63987.02</v>
      </c>
      <c r="M396">
        <v>45097.82</v>
      </c>
      <c r="N396">
        <v>34.049999999999997</v>
      </c>
      <c r="O396">
        <v>6.676E-2</v>
      </c>
      <c r="P396">
        <v>5.6749999999999998</v>
      </c>
      <c r="Q396">
        <v>122.62</v>
      </c>
      <c r="R396">
        <v>108.19</v>
      </c>
      <c r="S396">
        <v>209.18</v>
      </c>
    </row>
    <row r="397" spans="1:19" x14ac:dyDescent="0.3">
      <c r="A397" s="2">
        <v>44476</v>
      </c>
      <c r="B397">
        <v>126.17</v>
      </c>
      <c r="C397">
        <v>155.43</v>
      </c>
      <c r="D397">
        <v>183.7</v>
      </c>
      <c r="E397">
        <v>193.94</v>
      </c>
      <c r="F397">
        <v>160.76</v>
      </c>
      <c r="G397">
        <v>78.3</v>
      </c>
      <c r="H397">
        <v>81.95</v>
      </c>
      <c r="I397">
        <v>79.45</v>
      </c>
      <c r="J397">
        <v>60.66</v>
      </c>
      <c r="K397">
        <v>18.68</v>
      </c>
      <c r="L397">
        <v>65157.75</v>
      </c>
      <c r="M397">
        <v>47964.04</v>
      </c>
      <c r="N397">
        <v>33.08</v>
      </c>
      <c r="O397">
        <v>6.6909999999999997E-2</v>
      </c>
      <c r="P397">
        <v>5.6769999999999996</v>
      </c>
      <c r="Q397">
        <v>126.4</v>
      </c>
      <c r="R397">
        <v>96.584999999999994</v>
      </c>
      <c r="S397">
        <v>213.43</v>
      </c>
    </row>
    <row r="398" spans="1:19" x14ac:dyDescent="0.3">
      <c r="A398" s="2">
        <v>44477</v>
      </c>
      <c r="B398">
        <v>152.61000000000001</v>
      </c>
      <c r="C398">
        <v>185.6</v>
      </c>
      <c r="D398">
        <v>216.97</v>
      </c>
      <c r="E398">
        <v>229.89</v>
      </c>
      <c r="F398">
        <v>175.32</v>
      </c>
      <c r="G398">
        <v>79.349999999999994</v>
      </c>
      <c r="H398">
        <v>82.39</v>
      </c>
      <c r="I398">
        <v>79.760000000000005</v>
      </c>
      <c r="J398">
        <v>62.18</v>
      </c>
      <c r="K398">
        <v>17.46</v>
      </c>
      <c r="L398">
        <v>65242.61</v>
      </c>
      <c r="M398">
        <v>51050.33</v>
      </c>
      <c r="N398">
        <v>32.06</v>
      </c>
      <c r="O398">
        <v>6.6809999999999994E-2</v>
      </c>
      <c r="P398">
        <v>5.5650000000000004</v>
      </c>
      <c r="Q398">
        <v>128.1</v>
      </c>
      <c r="R398">
        <v>87.605000000000004</v>
      </c>
      <c r="S398">
        <v>231.97</v>
      </c>
    </row>
    <row r="399" spans="1:19" x14ac:dyDescent="0.3">
      <c r="A399" s="2">
        <v>44480</v>
      </c>
      <c r="B399">
        <v>152.61000000000001</v>
      </c>
      <c r="C399">
        <v>185.6</v>
      </c>
      <c r="D399">
        <v>216.97</v>
      </c>
      <c r="E399">
        <v>229.89</v>
      </c>
      <c r="F399">
        <v>175.32</v>
      </c>
      <c r="G399">
        <v>80.52</v>
      </c>
      <c r="H399">
        <v>83.65</v>
      </c>
      <c r="I399">
        <v>80.680000000000007</v>
      </c>
      <c r="J399">
        <v>61.56</v>
      </c>
      <c r="K399">
        <v>18.14</v>
      </c>
      <c r="L399">
        <v>66101.039999999994</v>
      </c>
      <c r="M399">
        <v>51714.73</v>
      </c>
      <c r="N399">
        <v>33.08</v>
      </c>
      <c r="O399">
        <v>6.6360000000000002E-2</v>
      </c>
      <c r="P399">
        <v>5.3449999999999998</v>
      </c>
      <c r="Q399">
        <v>127.57</v>
      </c>
      <c r="R399">
        <v>85.215000000000003</v>
      </c>
      <c r="S399">
        <v>260.3</v>
      </c>
    </row>
    <row r="400" spans="1:19" x14ac:dyDescent="0.3">
      <c r="A400" s="2">
        <v>44481</v>
      </c>
      <c r="B400">
        <v>152.61000000000001</v>
      </c>
      <c r="C400">
        <v>185.6</v>
      </c>
      <c r="D400">
        <v>216.97</v>
      </c>
      <c r="E400">
        <v>229.89</v>
      </c>
      <c r="F400">
        <v>175.32</v>
      </c>
      <c r="G400">
        <v>80.64</v>
      </c>
      <c r="H400">
        <v>83.42</v>
      </c>
      <c r="I400">
        <v>80.58</v>
      </c>
      <c r="J400">
        <v>61.24</v>
      </c>
      <c r="K400">
        <v>18.34</v>
      </c>
      <c r="L400">
        <v>65988.12</v>
      </c>
      <c r="M400">
        <v>52741.48</v>
      </c>
      <c r="N400">
        <v>32.9</v>
      </c>
      <c r="O400">
        <v>6.6710000000000005E-2</v>
      </c>
      <c r="P400">
        <v>5.5049999999999999</v>
      </c>
      <c r="Q400">
        <v>127.54</v>
      </c>
      <c r="R400">
        <v>85.7</v>
      </c>
      <c r="S400">
        <v>263.52</v>
      </c>
    </row>
    <row r="401" spans="1:19" x14ac:dyDescent="0.3">
      <c r="A401" s="2">
        <v>44482</v>
      </c>
      <c r="B401">
        <v>152.61000000000001</v>
      </c>
      <c r="C401">
        <v>185.6</v>
      </c>
      <c r="D401">
        <v>216.97</v>
      </c>
      <c r="E401">
        <v>229.89</v>
      </c>
      <c r="F401">
        <v>175.32</v>
      </c>
      <c r="G401">
        <v>80.44</v>
      </c>
      <c r="H401">
        <v>83.18</v>
      </c>
      <c r="I401">
        <v>80.45</v>
      </c>
      <c r="J401">
        <v>61.07</v>
      </c>
      <c r="K401">
        <v>21.274702495201531</v>
      </c>
      <c r="L401">
        <v>66012.78</v>
      </c>
      <c r="M401">
        <v>53722.68</v>
      </c>
      <c r="N401">
        <v>33.11</v>
      </c>
      <c r="O401">
        <v>6.7479999999999998E-2</v>
      </c>
      <c r="P401">
        <v>5.59</v>
      </c>
      <c r="Q401">
        <v>128.35</v>
      </c>
      <c r="R401">
        <v>93.614999999999995</v>
      </c>
      <c r="S401">
        <v>264.57</v>
      </c>
    </row>
    <row r="402" spans="1:19" x14ac:dyDescent="0.3">
      <c r="A402" s="2">
        <v>44483</v>
      </c>
      <c r="B402">
        <v>152.61000000000001</v>
      </c>
      <c r="C402">
        <v>185.6</v>
      </c>
      <c r="D402">
        <v>216.97</v>
      </c>
      <c r="E402">
        <v>229.89</v>
      </c>
      <c r="F402">
        <v>175.32</v>
      </c>
      <c r="G402">
        <v>81.31</v>
      </c>
      <c r="H402">
        <v>84</v>
      </c>
      <c r="I402">
        <v>80.95</v>
      </c>
      <c r="J402">
        <v>62</v>
      </c>
      <c r="K402">
        <v>21.274702495201531</v>
      </c>
      <c r="L402">
        <v>66846.17</v>
      </c>
      <c r="M402">
        <v>54540.56</v>
      </c>
      <c r="N402">
        <v>33.305</v>
      </c>
      <c r="O402">
        <v>6.7570000000000005E-2</v>
      </c>
      <c r="P402">
        <v>5.6870000000000003</v>
      </c>
      <c r="Q402">
        <v>128.75</v>
      </c>
      <c r="R402">
        <v>102.17</v>
      </c>
      <c r="S402">
        <v>264.37</v>
      </c>
    </row>
    <row r="403" spans="1:19" x14ac:dyDescent="0.3">
      <c r="A403" s="2">
        <v>44484</v>
      </c>
      <c r="B403">
        <v>158.44999999999999</v>
      </c>
      <c r="C403">
        <v>192.5</v>
      </c>
      <c r="D403">
        <v>224.43</v>
      </c>
      <c r="E403">
        <v>239.82</v>
      </c>
      <c r="F403">
        <v>217.15</v>
      </c>
      <c r="G403">
        <v>82.28</v>
      </c>
      <c r="H403">
        <v>84.86</v>
      </c>
      <c r="I403">
        <v>81.510000000000005</v>
      </c>
      <c r="J403">
        <v>62.59</v>
      </c>
      <c r="K403">
        <v>17.96</v>
      </c>
      <c r="L403">
        <v>67028.86</v>
      </c>
      <c r="M403">
        <v>54203.69</v>
      </c>
      <c r="N403">
        <v>33.253999999999998</v>
      </c>
      <c r="O403">
        <v>6.8409999999999999E-2</v>
      </c>
      <c r="P403">
        <v>5.41</v>
      </c>
      <c r="Q403">
        <v>129.38999999999999</v>
      </c>
      <c r="R403">
        <v>93.65</v>
      </c>
      <c r="S403">
        <v>141.61602674307539</v>
      </c>
    </row>
    <row r="404" spans="1:19" x14ac:dyDescent="0.3">
      <c r="A404" s="2">
        <v>44487</v>
      </c>
      <c r="B404">
        <v>158.44999999999999</v>
      </c>
      <c r="C404">
        <v>192.5</v>
      </c>
      <c r="D404">
        <v>224.43</v>
      </c>
      <c r="E404">
        <v>239.82</v>
      </c>
      <c r="F404">
        <v>217.15</v>
      </c>
      <c r="G404">
        <v>82.44</v>
      </c>
      <c r="H404">
        <v>84.33</v>
      </c>
      <c r="I404">
        <v>81.31</v>
      </c>
      <c r="J404">
        <v>62.56</v>
      </c>
      <c r="K404">
        <v>19.079999999999998</v>
      </c>
      <c r="L404">
        <v>66792.100000000006</v>
      </c>
      <c r="M404">
        <v>53787.59</v>
      </c>
      <c r="N404">
        <v>34.340000000000003</v>
      </c>
      <c r="O404">
        <v>6.8040000000000003E-2</v>
      </c>
      <c r="P404">
        <v>4.9889999999999999</v>
      </c>
      <c r="Q404">
        <v>130.30000000000001</v>
      </c>
      <c r="R404">
        <v>93.935000000000002</v>
      </c>
      <c r="S404">
        <v>265.63</v>
      </c>
    </row>
    <row r="405" spans="1:19" x14ac:dyDescent="0.3">
      <c r="A405" s="2">
        <v>44488</v>
      </c>
      <c r="B405">
        <v>158.44999999999999</v>
      </c>
      <c r="C405">
        <v>192.5</v>
      </c>
      <c r="D405">
        <v>224.43</v>
      </c>
      <c r="E405">
        <v>239.82</v>
      </c>
      <c r="F405">
        <v>217.15</v>
      </c>
      <c r="G405">
        <v>82.96</v>
      </c>
      <c r="H405">
        <v>85.08</v>
      </c>
      <c r="I405">
        <v>81.61</v>
      </c>
      <c r="J405">
        <v>63.5</v>
      </c>
      <c r="K405">
        <v>18.600000000000001</v>
      </c>
      <c r="L405">
        <v>66776.149999999994</v>
      </c>
      <c r="M405">
        <v>53644.81</v>
      </c>
      <c r="N405">
        <v>34.89</v>
      </c>
      <c r="O405">
        <v>6.8790000000000004E-2</v>
      </c>
      <c r="P405">
        <v>5.0880000000000001</v>
      </c>
      <c r="Q405">
        <v>130.91</v>
      </c>
      <c r="R405">
        <v>89.93</v>
      </c>
      <c r="S405">
        <v>281.77999999999997</v>
      </c>
    </row>
    <row r="406" spans="1:19" x14ac:dyDescent="0.3">
      <c r="A406" s="2">
        <v>44489</v>
      </c>
      <c r="B406">
        <v>158.44999999999999</v>
      </c>
      <c r="C406">
        <v>192.5</v>
      </c>
      <c r="D406">
        <v>224.43</v>
      </c>
      <c r="E406">
        <v>239.82</v>
      </c>
      <c r="F406">
        <v>217.15</v>
      </c>
      <c r="G406">
        <v>83.87</v>
      </c>
      <c r="H406">
        <v>85.82</v>
      </c>
      <c r="I406">
        <v>81.81</v>
      </c>
      <c r="J406">
        <v>63.85</v>
      </c>
      <c r="K406">
        <v>18.04</v>
      </c>
      <c r="L406">
        <v>66894.789999999994</v>
      </c>
      <c r="M406">
        <v>53876.08</v>
      </c>
      <c r="N406">
        <v>35.555</v>
      </c>
      <c r="O406">
        <v>6.9400000000000003E-2</v>
      </c>
      <c r="P406">
        <v>5.17</v>
      </c>
      <c r="Q406">
        <v>130.22</v>
      </c>
      <c r="R406">
        <v>93.45</v>
      </c>
      <c r="S406">
        <v>263.14999999999998</v>
      </c>
    </row>
    <row r="407" spans="1:19" x14ac:dyDescent="0.3">
      <c r="A407" s="2">
        <v>44490</v>
      </c>
      <c r="B407">
        <v>158.44999999999999</v>
      </c>
      <c r="C407">
        <v>192.5</v>
      </c>
      <c r="D407">
        <v>224.43</v>
      </c>
      <c r="E407">
        <v>239.82</v>
      </c>
      <c r="F407">
        <v>217.15</v>
      </c>
      <c r="G407">
        <v>82.5</v>
      </c>
      <c r="H407">
        <v>84.61</v>
      </c>
      <c r="I407">
        <v>81.44</v>
      </c>
      <c r="J407">
        <v>62.69</v>
      </c>
      <c r="K407">
        <v>18.62</v>
      </c>
      <c r="L407">
        <v>66057.58</v>
      </c>
      <c r="M407">
        <v>52522.51</v>
      </c>
      <c r="N407">
        <v>33.454999999999998</v>
      </c>
      <c r="O407">
        <v>6.8040000000000003E-2</v>
      </c>
      <c r="P407">
        <v>5.1150000000000002</v>
      </c>
      <c r="Q407">
        <v>129.61000000000001</v>
      </c>
      <c r="R407">
        <v>88.465000000000003</v>
      </c>
      <c r="S407">
        <v>252.65</v>
      </c>
    </row>
    <row r="408" spans="1:19" x14ac:dyDescent="0.3">
      <c r="A408" s="2">
        <v>44491</v>
      </c>
      <c r="B408">
        <v>132.88</v>
      </c>
      <c r="C408">
        <v>167.09</v>
      </c>
      <c r="D408">
        <v>191.93</v>
      </c>
      <c r="E408">
        <v>212.47</v>
      </c>
      <c r="F408">
        <v>196.52</v>
      </c>
      <c r="G408">
        <v>83.76</v>
      </c>
      <c r="H408">
        <v>85.53</v>
      </c>
      <c r="I408">
        <v>81.61</v>
      </c>
      <c r="J408">
        <v>63.12</v>
      </c>
      <c r="K408">
        <v>17.86</v>
      </c>
      <c r="L408">
        <v>67050.52</v>
      </c>
      <c r="M408">
        <v>54421.08</v>
      </c>
      <c r="N408">
        <v>33.255000000000003</v>
      </c>
      <c r="O408">
        <v>6.7419999999999994E-2</v>
      </c>
      <c r="P408">
        <v>5.28</v>
      </c>
      <c r="Q408">
        <v>131.6</v>
      </c>
      <c r="R408">
        <v>87.34</v>
      </c>
      <c r="S408">
        <v>254.87</v>
      </c>
    </row>
    <row r="409" spans="1:19" x14ac:dyDescent="0.3">
      <c r="A409" s="2">
        <v>44494</v>
      </c>
      <c r="B409">
        <v>132.88</v>
      </c>
      <c r="C409">
        <v>167.09</v>
      </c>
      <c r="D409">
        <v>191.93</v>
      </c>
      <c r="E409">
        <v>212.47</v>
      </c>
      <c r="F409">
        <v>196.52</v>
      </c>
      <c r="G409">
        <v>83.76</v>
      </c>
      <c r="H409">
        <v>85.99</v>
      </c>
      <c r="I409">
        <v>81.73</v>
      </c>
      <c r="J409">
        <v>64.349999999999994</v>
      </c>
      <c r="K409">
        <v>18.02</v>
      </c>
      <c r="L409">
        <v>66980.45</v>
      </c>
      <c r="M409">
        <v>53846.35</v>
      </c>
      <c r="N409">
        <v>33.575000000000003</v>
      </c>
      <c r="O409">
        <v>6.794E-2</v>
      </c>
      <c r="P409">
        <v>5.8979999999999997</v>
      </c>
      <c r="Q409">
        <v>133.04</v>
      </c>
      <c r="R409">
        <v>88.644999999999996</v>
      </c>
      <c r="S409">
        <v>233</v>
      </c>
    </row>
    <row r="410" spans="1:19" x14ac:dyDescent="0.3">
      <c r="A410" s="2">
        <v>44495</v>
      </c>
      <c r="B410">
        <v>132.88</v>
      </c>
      <c r="C410">
        <v>167.09</v>
      </c>
      <c r="D410">
        <v>191.93</v>
      </c>
      <c r="E410">
        <v>212.47</v>
      </c>
      <c r="F410">
        <v>196.52</v>
      </c>
      <c r="G410">
        <v>84.65</v>
      </c>
      <c r="H410">
        <v>86.4</v>
      </c>
      <c r="I410">
        <v>81.819999999999993</v>
      </c>
      <c r="J410">
        <v>65.84</v>
      </c>
      <c r="K410">
        <v>17.48</v>
      </c>
      <c r="L410">
        <v>67615.31</v>
      </c>
      <c r="M410">
        <v>53822.720000000001</v>
      </c>
      <c r="N410">
        <v>34.204999999999998</v>
      </c>
      <c r="O410">
        <v>6.7309999999999995E-2</v>
      </c>
      <c r="P410">
        <v>5.8819999999999997</v>
      </c>
      <c r="Q410">
        <v>133.72</v>
      </c>
      <c r="R410">
        <v>88.495000000000005</v>
      </c>
      <c r="S410">
        <v>244</v>
      </c>
    </row>
    <row r="411" spans="1:19" x14ac:dyDescent="0.3">
      <c r="A411" s="2">
        <v>44496</v>
      </c>
      <c r="B411">
        <v>132.88</v>
      </c>
      <c r="C411">
        <v>167.09</v>
      </c>
      <c r="D411">
        <v>191.93</v>
      </c>
      <c r="E411">
        <v>212.47</v>
      </c>
      <c r="F411">
        <v>196.52</v>
      </c>
      <c r="G411">
        <v>82.66</v>
      </c>
      <c r="H411">
        <v>84.58</v>
      </c>
      <c r="I411">
        <v>81.599999999999994</v>
      </c>
      <c r="J411">
        <v>64.13</v>
      </c>
      <c r="K411">
        <v>16.62</v>
      </c>
      <c r="L411">
        <v>67475.09</v>
      </c>
      <c r="M411">
        <v>53775.54</v>
      </c>
      <c r="N411">
        <v>33.905000000000001</v>
      </c>
      <c r="O411">
        <v>6.6259999999999999E-2</v>
      </c>
      <c r="P411">
        <v>6.202</v>
      </c>
      <c r="Q411">
        <v>132.96</v>
      </c>
      <c r="R411">
        <v>86.82</v>
      </c>
      <c r="S411">
        <v>245.67</v>
      </c>
    </row>
    <row r="412" spans="1:19" x14ac:dyDescent="0.3">
      <c r="A412" s="2">
        <v>44497</v>
      </c>
      <c r="B412">
        <v>132.88</v>
      </c>
      <c r="C412">
        <v>167.09</v>
      </c>
      <c r="D412">
        <v>191.93</v>
      </c>
      <c r="E412">
        <v>212.47</v>
      </c>
      <c r="F412">
        <v>196.52</v>
      </c>
      <c r="G412">
        <v>82.81</v>
      </c>
      <c r="H412">
        <v>84.32</v>
      </c>
      <c r="I412">
        <v>81.55</v>
      </c>
      <c r="J412">
        <v>64.31</v>
      </c>
      <c r="K412">
        <v>16.760000000000002</v>
      </c>
      <c r="L412">
        <v>67759.759999999995</v>
      </c>
      <c r="M412">
        <v>53834.02</v>
      </c>
      <c r="N412">
        <v>32.01</v>
      </c>
      <c r="O412">
        <v>6.6019999999999995E-2</v>
      </c>
      <c r="P412">
        <v>5.782</v>
      </c>
      <c r="Q412">
        <v>135.49</v>
      </c>
      <c r="R412">
        <v>77.031999999999996</v>
      </c>
      <c r="S412">
        <v>236.8</v>
      </c>
    </row>
    <row r="413" spans="1:19" x14ac:dyDescent="0.3">
      <c r="A413" s="2">
        <v>44498</v>
      </c>
      <c r="B413">
        <v>103.51</v>
      </c>
      <c r="C413">
        <v>130.91</v>
      </c>
      <c r="D413">
        <v>155.6</v>
      </c>
      <c r="E413">
        <v>175.77</v>
      </c>
      <c r="F413">
        <v>172.48</v>
      </c>
      <c r="G413">
        <v>83.57</v>
      </c>
      <c r="H413">
        <v>84.38</v>
      </c>
      <c r="I413">
        <v>81.58</v>
      </c>
      <c r="J413">
        <v>64.47</v>
      </c>
      <c r="K413">
        <v>16.760000000000002</v>
      </c>
      <c r="L413">
        <v>67464.69</v>
      </c>
      <c r="M413">
        <v>52811.87</v>
      </c>
      <c r="N413">
        <v>30</v>
      </c>
      <c r="O413">
        <v>6.5729999999999997E-2</v>
      </c>
      <c r="P413">
        <v>5.4260000000000002</v>
      </c>
      <c r="Q413">
        <v>138.46</v>
      </c>
      <c r="R413">
        <v>64.864999999999995</v>
      </c>
      <c r="S413">
        <v>236.1</v>
      </c>
    </row>
    <row r="414" spans="1:19" x14ac:dyDescent="0.3">
      <c r="A414" s="2">
        <v>44501</v>
      </c>
      <c r="B414">
        <v>103.51</v>
      </c>
      <c r="C414">
        <v>130.91</v>
      </c>
      <c r="D414">
        <v>155.6</v>
      </c>
      <c r="E414">
        <v>175.77</v>
      </c>
      <c r="F414">
        <v>172.48</v>
      </c>
      <c r="G414">
        <v>84.05</v>
      </c>
      <c r="H414">
        <v>84.71</v>
      </c>
      <c r="I414">
        <v>82.38</v>
      </c>
      <c r="J414">
        <v>65.63</v>
      </c>
      <c r="K414">
        <v>16.920000000000002</v>
      </c>
      <c r="L414">
        <v>68736.904810964072</v>
      </c>
      <c r="M414">
        <v>52972.178374291107</v>
      </c>
      <c r="N414">
        <v>29.204999999999998</v>
      </c>
      <c r="O414">
        <v>6.4799999999999996E-2</v>
      </c>
      <c r="P414">
        <v>5.1859999999999999</v>
      </c>
      <c r="Q414">
        <v>137.13</v>
      </c>
      <c r="R414">
        <v>65.62</v>
      </c>
      <c r="S414">
        <v>244.68</v>
      </c>
    </row>
    <row r="415" spans="1:19" x14ac:dyDescent="0.3">
      <c r="A415" s="2">
        <v>44502</v>
      </c>
      <c r="B415">
        <v>103.51</v>
      </c>
      <c r="C415">
        <v>130.91</v>
      </c>
      <c r="D415">
        <v>155.6</v>
      </c>
      <c r="E415">
        <v>175.77</v>
      </c>
      <c r="F415">
        <v>172.48</v>
      </c>
      <c r="G415">
        <v>83.91</v>
      </c>
      <c r="H415">
        <v>84.72</v>
      </c>
      <c r="I415">
        <v>82.54</v>
      </c>
      <c r="J415">
        <v>64.819999999999993</v>
      </c>
      <c r="K415">
        <v>16.48</v>
      </c>
      <c r="L415">
        <v>67782.2</v>
      </c>
      <c r="M415">
        <v>53284.84</v>
      </c>
      <c r="N415">
        <v>30.805</v>
      </c>
      <c r="O415">
        <v>6.4740000000000006E-2</v>
      </c>
      <c r="P415">
        <v>5.5419999999999998</v>
      </c>
      <c r="Q415">
        <v>138.81</v>
      </c>
      <c r="R415">
        <v>67.605000000000004</v>
      </c>
      <c r="S415">
        <v>248.32</v>
      </c>
    </row>
    <row r="416" spans="1:19" x14ac:dyDescent="0.3">
      <c r="A416" s="2">
        <v>44503</v>
      </c>
      <c r="B416">
        <v>103.51</v>
      </c>
      <c r="C416">
        <v>130.91</v>
      </c>
      <c r="D416">
        <v>155.6</v>
      </c>
      <c r="E416">
        <v>175.77</v>
      </c>
      <c r="F416">
        <v>172.48</v>
      </c>
      <c r="G416">
        <v>80.86</v>
      </c>
      <c r="H416">
        <v>81.99</v>
      </c>
      <c r="I416">
        <v>80.16</v>
      </c>
      <c r="J416">
        <v>63.93</v>
      </c>
      <c r="K416">
        <v>16.86</v>
      </c>
      <c r="L416">
        <v>68587.27</v>
      </c>
      <c r="M416">
        <v>53521.599999999999</v>
      </c>
      <c r="N416">
        <v>32.755000000000003</v>
      </c>
      <c r="O416">
        <v>6.547E-2</v>
      </c>
      <c r="P416">
        <v>5.67</v>
      </c>
      <c r="Q416">
        <v>137.19</v>
      </c>
      <c r="R416">
        <v>76.540000000000006</v>
      </c>
      <c r="S416">
        <v>242.7</v>
      </c>
    </row>
    <row r="417" spans="1:19" x14ac:dyDescent="0.3">
      <c r="A417" s="2">
        <v>44504</v>
      </c>
      <c r="B417">
        <v>103.51</v>
      </c>
      <c r="C417">
        <v>130.91</v>
      </c>
      <c r="D417">
        <v>155.6</v>
      </c>
      <c r="E417">
        <v>175.77</v>
      </c>
      <c r="F417">
        <v>172.48</v>
      </c>
      <c r="G417">
        <v>78.81</v>
      </c>
      <c r="H417">
        <v>80.540000000000006</v>
      </c>
      <c r="I417">
        <v>78.95</v>
      </c>
      <c r="J417">
        <v>64.41</v>
      </c>
      <c r="K417">
        <v>16.7</v>
      </c>
      <c r="L417">
        <v>68156.210000000006</v>
      </c>
      <c r="M417">
        <v>54258.93</v>
      </c>
      <c r="N417">
        <v>32.005000000000003</v>
      </c>
      <c r="O417">
        <v>6.5699999999999995E-2</v>
      </c>
      <c r="P417">
        <v>5.7160000000000002</v>
      </c>
      <c r="Q417">
        <v>136.52000000000001</v>
      </c>
      <c r="R417">
        <v>73.375</v>
      </c>
      <c r="S417">
        <v>245.73</v>
      </c>
    </row>
    <row r="418" spans="1:19" x14ac:dyDescent="0.3">
      <c r="A418" s="2">
        <v>44505</v>
      </c>
      <c r="B418">
        <v>84.19</v>
      </c>
      <c r="C418">
        <v>107.17</v>
      </c>
      <c r="D418">
        <v>122.99</v>
      </c>
      <c r="E418">
        <v>136.78</v>
      </c>
      <c r="F418">
        <v>140.33000000000001</v>
      </c>
      <c r="G418">
        <v>81.27</v>
      </c>
      <c r="H418">
        <v>82.74</v>
      </c>
      <c r="I418">
        <v>80.94</v>
      </c>
      <c r="J418">
        <v>65.02</v>
      </c>
      <c r="K418">
        <v>16.14</v>
      </c>
      <c r="L418">
        <v>67825.34</v>
      </c>
      <c r="M418">
        <v>52648.88</v>
      </c>
      <c r="N418">
        <v>31.62</v>
      </c>
      <c r="O418">
        <v>6.6379999999999995E-2</v>
      </c>
      <c r="P418">
        <v>5.516</v>
      </c>
      <c r="Q418">
        <v>136.08000000000001</v>
      </c>
      <c r="R418">
        <v>74.025000000000006</v>
      </c>
      <c r="S418">
        <v>141.61602674307539</v>
      </c>
    </row>
    <row r="419" spans="1:19" x14ac:dyDescent="0.3">
      <c r="A419" s="2">
        <v>44508</v>
      </c>
      <c r="B419">
        <v>84.19</v>
      </c>
      <c r="C419">
        <v>107.17</v>
      </c>
      <c r="D419">
        <v>122.99</v>
      </c>
      <c r="E419">
        <v>136.78</v>
      </c>
      <c r="F419">
        <v>140.33000000000001</v>
      </c>
      <c r="G419">
        <v>81.93</v>
      </c>
      <c r="H419">
        <v>83.43</v>
      </c>
      <c r="I419">
        <v>81.62</v>
      </c>
      <c r="J419">
        <v>65.72</v>
      </c>
      <c r="K419">
        <v>16.600000000000001</v>
      </c>
      <c r="L419">
        <v>68049.34</v>
      </c>
      <c r="M419">
        <v>53007.26</v>
      </c>
      <c r="N419">
        <v>32.145000000000003</v>
      </c>
      <c r="O419">
        <v>6.701E-2</v>
      </c>
      <c r="P419">
        <v>5.4269999999999996</v>
      </c>
      <c r="Q419">
        <v>135.75</v>
      </c>
      <c r="R419">
        <v>79.075000000000003</v>
      </c>
      <c r="S419">
        <v>260.12</v>
      </c>
    </row>
    <row r="420" spans="1:19" x14ac:dyDescent="0.3">
      <c r="A420" s="2">
        <v>44509</v>
      </c>
      <c r="B420">
        <v>84.19</v>
      </c>
      <c r="C420">
        <v>107.17</v>
      </c>
      <c r="D420">
        <v>122.99</v>
      </c>
      <c r="E420">
        <v>136.78</v>
      </c>
      <c r="F420">
        <v>140.33000000000001</v>
      </c>
      <c r="G420">
        <v>84.15</v>
      </c>
      <c r="H420">
        <v>84.78</v>
      </c>
      <c r="I420">
        <v>82.58</v>
      </c>
      <c r="J420">
        <v>66.36</v>
      </c>
      <c r="K420">
        <v>16.2</v>
      </c>
      <c r="L420">
        <v>67983.199999999997</v>
      </c>
      <c r="M420">
        <v>51550.5</v>
      </c>
      <c r="N420">
        <v>31.76</v>
      </c>
      <c r="O420">
        <v>6.6559999999999994E-2</v>
      </c>
      <c r="P420">
        <v>4.9790000000000001</v>
      </c>
      <c r="Q420">
        <v>135.47999999999999</v>
      </c>
      <c r="R420">
        <v>72.584999999999994</v>
      </c>
      <c r="S420">
        <v>260.7</v>
      </c>
    </row>
    <row r="421" spans="1:19" x14ac:dyDescent="0.3">
      <c r="A421" s="2">
        <v>44510</v>
      </c>
      <c r="B421">
        <v>84.19</v>
      </c>
      <c r="C421">
        <v>107.17</v>
      </c>
      <c r="D421">
        <v>122.99</v>
      </c>
      <c r="E421">
        <v>136.78</v>
      </c>
      <c r="F421">
        <v>140.33000000000001</v>
      </c>
      <c r="G421">
        <v>81.34</v>
      </c>
      <c r="H421">
        <v>82.64</v>
      </c>
      <c r="I421">
        <v>81.27</v>
      </c>
      <c r="J421">
        <v>64.19</v>
      </c>
      <c r="K421">
        <v>16.18</v>
      </c>
      <c r="L421">
        <v>68279.399999999994</v>
      </c>
      <c r="M421">
        <v>54731.95</v>
      </c>
      <c r="N421">
        <v>31.14</v>
      </c>
      <c r="O421">
        <v>6.4810000000000006E-2</v>
      </c>
      <c r="P421">
        <v>4.88</v>
      </c>
      <c r="Q421">
        <v>134.21</v>
      </c>
      <c r="R421">
        <v>70.125</v>
      </c>
      <c r="S421">
        <v>259.93</v>
      </c>
    </row>
    <row r="422" spans="1:19" x14ac:dyDescent="0.3">
      <c r="A422" s="2">
        <v>44511</v>
      </c>
      <c r="B422">
        <v>84.19</v>
      </c>
      <c r="C422">
        <v>107.17</v>
      </c>
      <c r="D422">
        <v>122.99</v>
      </c>
      <c r="E422">
        <v>136.78</v>
      </c>
      <c r="F422">
        <v>140.33000000000001</v>
      </c>
      <c r="G422">
        <v>81.59</v>
      </c>
      <c r="H422">
        <v>82.87</v>
      </c>
      <c r="I422">
        <v>81.67</v>
      </c>
      <c r="J422">
        <v>64.31</v>
      </c>
      <c r="K422">
        <v>16.48</v>
      </c>
      <c r="L422">
        <v>69131.56</v>
      </c>
      <c r="M422">
        <v>57463.88</v>
      </c>
      <c r="N422">
        <v>31.414999999999999</v>
      </c>
      <c r="O422">
        <v>6.5299999999999997E-2</v>
      </c>
      <c r="P422">
        <v>5.149</v>
      </c>
      <c r="Q422">
        <v>134</v>
      </c>
      <c r="R422">
        <v>74.790000000000006</v>
      </c>
      <c r="S422">
        <v>262.93</v>
      </c>
    </row>
    <row r="423" spans="1:19" x14ac:dyDescent="0.3">
      <c r="A423" s="2">
        <v>44512</v>
      </c>
      <c r="B423">
        <v>86.7</v>
      </c>
      <c r="C423">
        <v>107.14</v>
      </c>
      <c r="D423">
        <v>127.16</v>
      </c>
      <c r="E423">
        <v>137.69</v>
      </c>
      <c r="F423">
        <v>132.75</v>
      </c>
      <c r="G423">
        <v>80.790000000000006</v>
      </c>
      <c r="H423">
        <v>82.17</v>
      </c>
      <c r="I423">
        <v>81.48</v>
      </c>
      <c r="J423">
        <v>63.82</v>
      </c>
      <c r="K423">
        <v>16.3</v>
      </c>
      <c r="L423">
        <v>69921.37</v>
      </c>
      <c r="M423">
        <v>56086.59</v>
      </c>
      <c r="N423">
        <v>31.565000000000001</v>
      </c>
      <c r="O423">
        <v>6.5040000000000001E-2</v>
      </c>
      <c r="P423">
        <v>4.7910000000000004</v>
      </c>
      <c r="Q423">
        <v>135.29</v>
      </c>
      <c r="R423">
        <v>75.674999999999997</v>
      </c>
      <c r="S423">
        <v>264.37</v>
      </c>
    </row>
    <row r="424" spans="1:19" x14ac:dyDescent="0.3">
      <c r="A424" s="2">
        <v>44515</v>
      </c>
      <c r="B424">
        <v>86.7</v>
      </c>
      <c r="C424">
        <v>107.14</v>
      </c>
      <c r="D424">
        <v>127.16</v>
      </c>
      <c r="E424">
        <v>137.69</v>
      </c>
      <c r="F424">
        <v>132.75</v>
      </c>
      <c r="G424">
        <v>80.88</v>
      </c>
      <c r="H424">
        <v>82.05</v>
      </c>
      <c r="I424">
        <v>81.41</v>
      </c>
      <c r="J424">
        <v>64.37</v>
      </c>
      <c r="K424">
        <v>16.14</v>
      </c>
      <c r="L424">
        <v>70090.539999999994</v>
      </c>
      <c r="M424">
        <v>56422.52</v>
      </c>
      <c r="N424">
        <v>31.611999999999998</v>
      </c>
      <c r="O424">
        <v>6.5579999999999999E-2</v>
      </c>
      <c r="P424">
        <v>5.0170000000000003</v>
      </c>
      <c r="Q424">
        <v>135.29</v>
      </c>
      <c r="R424">
        <v>79.944999999999993</v>
      </c>
      <c r="S424">
        <v>270.89999999999998</v>
      </c>
    </row>
    <row r="425" spans="1:19" x14ac:dyDescent="0.3">
      <c r="A425" s="2">
        <v>44516</v>
      </c>
      <c r="B425">
        <v>86.7</v>
      </c>
      <c r="C425">
        <v>107.14</v>
      </c>
      <c r="D425">
        <v>127.16</v>
      </c>
      <c r="E425">
        <v>137.69</v>
      </c>
      <c r="F425">
        <v>132.75</v>
      </c>
      <c r="G425">
        <v>80.760000000000005</v>
      </c>
      <c r="H425">
        <v>82.43</v>
      </c>
      <c r="I425">
        <v>81.67</v>
      </c>
      <c r="J425">
        <v>65.02</v>
      </c>
      <c r="K425">
        <v>16.239999999999998</v>
      </c>
      <c r="L425">
        <v>70938.41</v>
      </c>
      <c r="M425">
        <v>58115.41</v>
      </c>
      <c r="N425">
        <v>37.844999999999999</v>
      </c>
      <c r="O425">
        <v>6.4430000000000001E-2</v>
      </c>
      <c r="P425">
        <v>5.1769999999999996</v>
      </c>
      <c r="Q425">
        <v>136.07</v>
      </c>
      <c r="R425">
        <v>94.19</v>
      </c>
      <c r="S425">
        <v>269.8</v>
      </c>
    </row>
    <row r="426" spans="1:19" x14ac:dyDescent="0.3">
      <c r="A426" s="2">
        <v>44517</v>
      </c>
      <c r="B426">
        <v>86.7</v>
      </c>
      <c r="C426">
        <v>107.14</v>
      </c>
      <c r="D426">
        <v>127.16</v>
      </c>
      <c r="E426">
        <v>137.69</v>
      </c>
      <c r="F426">
        <v>132.75</v>
      </c>
      <c r="G426">
        <v>78.36</v>
      </c>
      <c r="H426">
        <v>80.28</v>
      </c>
      <c r="I426">
        <v>80.760000000000005</v>
      </c>
      <c r="J426">
        <v>64.31</v>
      </c>
      <c r="K426">
        <v>16.2</v>
      </c>
      <c r="L426">
        <v>70942.34</v>
      </c>
      <c r="M426">
        <v>58275.27</v>
      </c>
      <c r="N426">
        <v>37.284999999999997</v>
      </c>
      <c r="O426">
        <v>6.4479999999999996E-2</v>
      </c>
      <c r="P426">
        <v>4.8159999999999998</v>
      </c>
      <c r="Q426">
        <v>136.27000000000001</v>
      </c>
      <c r="R426">
        <v>95.004999999999995</v>
      </c>
      <c r="S426">
        <v>272.18</v>
      </c>
    </row>
    <row r="427" spans="1:19" x14ac:dyDescent="0.3">
      <c r="A427" s="2">
        <v>44518</v>
      </c>
      <c r="B427">
        <v>86.7</v>
      </c>
      <c r="C427">
        <v>107.14</v>
      </c>
      <c r="D427">
        <v>127.16</v>
      </c>
      <c r="E427">
        <v>137.69</v>
      </c>
      <c r="F427">
        <v>132.75</v>
      </c>
      <c r="G427">
        <v>79.010000000000005</v>
      </c>
      <c r="H427">
        <v>81.239999999999995</v>
      </c>
      <c r="I427">
        <v>81.11</v>
      </c>
      <c r="J427">
        <v>63.61</v>
      </c>
      <c r="K427">
        <v>16.059999999999999</v>
      </c>
      <c r="L427">
        <v>70866.570000000007</v>
      </c>
      <c r="M427">
        <v>57716.13</v>
      </c>
      <c r="N427">
        <v>37.564999999999998</v>
      </c>
      <c r="O427">
        <v>6.3869999999999996E-2</v>
      </c>
      <c r="P427">
        <v>4.9020000000000001</v>
      </c>
      <c r="Q427">
        <v>135.37</v>
      </c>
      <c r="R427">
        <v>95.165000000000006</v>
      </c>
      <c r="S427">
        <v>261.92</v>
      </c>
    </row>
    <row r="428" spans="1:19" x14ac:dyDescent="0.3">
      <c r="A428" s="2">
        <v>44519</v>
      </c>
      <c r="B428">
        <v>81.900000000000006</v>
      </c>
      <c r="C428">
        <v>104.56</v>
      </c>
      <c r="D428">
        <v>122.32</v>
      </c>
      <c r="E428">
        <v>131.43</v>
      </c>
      <c r="F428">
        <v>124.36</v>
      </c>
      <c r="G428">
        <v>76.099999999999994</v>
      </c>
      <c r="H428">
        <v>78.89</v>
      </c>
      <c r="I428">
        <v>80.33</v>
      </c>
      <c r="J428">
        <v>60.67</v>
      </c>
      <c r="K428">
        <v>16.36</v>
      </c>
      <c r="L428">
        <v>70376.42</v>
      </c>
      <c r="M428">
        <v>57045.67</v>
      </c>
      <c r="N428">
        <v>34.255000000000003</v>
      </c>
      <c r="O428">
        <v>6.3579999999999998E-2</v>
      </c>
      <c r="P428">
        <v>5.0650000000000004</v>
      </c>
      <c r="Q428">
        <v>133.30000000000001</v>
      </c>
      <c r="R428">
        <v>87.125</v>
      </c>
      <c r="S428">
        <v>141.61602674307539</v>
      </c>
    </row>
    <row r="429" spans="1:19" x14ac:dyDescent="0.3">
      <c r="A429" s="2">
        <v>44522</v>
      </c>
      <c r="B429">
        <v>81.900000000000006</v>
      </c>
      <c r="C429">
        <v>104.56</v>
      </c>
      <c r="D429">
        <v>122.32</v>
      </c>
      <c r="E429">
        <v>131.43</v>
      </c>
      <c r="F429">
        <v>124.36</v>
      </c>
      <c r="G429">
        <v>76.75</v>
      </c>
      <c r="H429">
        <v>79.7</v>
      </c>
      <c r="I429">
        <v>80.55</v>
      </c>
      <c r="J429">
        <v>61.51</v>
      </c>
      <c r="K429">
        <v>16.28</v>
      </c>
      <c r="L429">
        <v>70865.850000000006</v>
      </c>
      <c r="M429">
        <v>56595.97</v>
      </c>
      <c r="N429">
        <v>33.97</v>
      </c>
      <c r="O429">
        <v>6.3060000000000005E-2</v>
      </c>
      <c r="P429">
        <v>4.7889999999999997</v>
      </c>
      <c r="Q429">
        <v>132.97999999999999</v>
      </c>
      <c r="R429">
        <v>84.015000000000001</v>
      </c>
      <c r="S429">
        <v>256.48</v>
      </c>
    </row>
    <row r="430" spans="1:19" x14ac:dyDescent="0.3">
      <c r="A430" s="2">
        <v>44523</v>
      </c>
      <c r="B430">
        <v>81.900000000000006</v>
      </c>
      <c r="C430">
        <v>104.56</v>
      </c>
      <c r="D430">
        <v>122.32</v>
      </c>
      <c r="E430">
        <v>131.43</v>
      </c>
      <c r="F430">
        <v>124.36</v>
      </c>
      <c r="G430">
        <v>78.5</v>
      </c>
      <c r="H430">
        <v>82.31</v>
      </c>
      <c r="I430">
        <v>81.22</v>
      </c>
      <c r="J430">
        <v>63.13</v>
      </c>
      <c r="K430">
        <v>16.52</v>
      </c>
      <c r="L430">
        <v>71015.399999999994</v>
      </c>
      <c r="M430">
        <v>56161.78</v>
      </c>
      <c r="N430">
        <v>36.075000000000003</v>
      </c>
      <c r="O430">
        <v>6.3079999999999997E-2</v>
      </c>
      <c r="P430">
        <v>4.9669999999999996</v>
      </c>
      <c r="Q430">
        <v>132.05000000000001</v>
      </c>
      <c r="R430">
        <v>90.924999999999997</v>
      </c>
      <c r="S430">
        <v>263.75</v>
      </c>
    </row>
    <row r="431" spans="1:19" x14ac:dyDescent="0.3">
      <c r="A431" s="2">
        <v>44524</v>
      </c>
      <c r="B431">
        <v>81.900000000000006</v>
      </c>
      <c r="C431">
        <v>104.56</v>
      </c>
      <c r="D431">
        <v>122.32</v>
      </c>
      <c r="E431">
        <v>131.43</v>
      </c>
      <c r="F431">
        <v>124.36</v>
      </c>
      <c r="G431">
        <v>78.39</v>
      </c>
      <c r="H431">
        <v>82.25</v>
      </c>
      <c r="I431">
        <v>81.2</v>
      </c>
      <c r="J431">
        <v>63.48</v>
      </c>
      <c r="K431">
        <v>16.96</v>
      </c>
      <c r="L431">
        <v>70558.89</v>
      </c>
      <c r="M431">
        <v>55339.26</v>
      </c>
      <c r="N431">
        <v>36.204999999999998</v>
      </c>
      <c r="O431">
        <v>6.2810000000000005E-2</v>
      </c>
      <c r="P431">
        <v>5.0679999999999996</v>
      </c>
      <c r="Q431">
        <v>132.27000000000001</v>
      </c>
      <c r="R431">
        <v>93.984999999999999</v>
      </c>
      <c r="S431">
        <v>260.48</v>
      </c>
    </row>
    <row r="432" spans="1:19" x14ac:dyDescent="0.3">
      <c r="A432" s="2">
        <v>44525</v>
      </c>
      <c r="B432">
        <v>81.900000000000006</v>
      </c>
      <c r="C432">
        <v>104.56</v>
      </c>
      <c r="D432">
        <v>122.32</v>
      </c>
      <c r="E432">
        <v>131.43</v>
      </c>
      <c r="F432">
        <v>124.36</v>
      </c>
      <c r="G432">
        <v>77.41</v>
      </c>
      <c r="H432">
        <v>82.22</v>
      </c>
      <c r="I432">
        <v>74.752492970946577</v>
      </c>
      <c r="J432">
        <v>80.871012183692585</v>
      </c>
      <c r="K432">
        <v>16.899999999999999</v>
      </c>
      <c r="L432">
        <v>70554.679999999993</v>
      </c>
      <c r="M432">
        <v>54931.35</v>
      </c>
      <c r="N432">
        <v>17.62252908067542</v>
      </c>
      <c r="O432">
        <v>6.2549999999999994E-2</v>
      </c>
      <c r="P432">
        <v>5.0869999999999997</v>
      </c>
      <c r="Q432">
        <v>112.7561105904405</v>
      </c>
      <c r="R432">
        <v>93.3</v>
      </c>
      <c r="S432">
        <v>258.83</v>
      </c>
    </row>
    <row r="433" spans="1:19" x14ac:dyDescent="0.3">
      <c r="A433" s="2">
        <v>44526</v>
      </c>
      <c r="B433">
        <v>101.1</v>
      </c>
      <c r="C433">
        <v>129.26</v>
      </c>
      <c r="D433">
        <v>148.16999999999999</v>
      </c>
      <c r="E433">
        <v>158.30000000000001</v>
      </c>
      <c r="F433">
        <v>135.53</v>
      </c>
      <c r="G433">
        <v>68.150000000000006</v>
      </c>
      <c r="H433">
        <v>72.72</v>
      </c>
      <c r="I433">
        <v>80.08</v>
      </c>
      <c r="J433">
        <v>61.25</v>
      </c>
      <c r="K433">
        <v>16.559999999999999</v>
      </c>
      <c r="L433">
        <v>68614.98</v>
      </c>
      <c r="M433">
        <v>53898.29</v>
      </c>
      <c r="N433">
        <v>34.89</v>
      </c>
      <c r="O433">
        <v>6.13E-2</v>
      </c>
      <c r="P433">
        <v>5.4470000000000001</v>
      </c>
      <c r="Q433">
        <v>129.68</v>
      </c>
      <c r="R433">
        <v>87.772000000000006</v>
      </c>
      <c r="S433">
        <v>250.97</v>
      </c>
    </row>
    <row r="434" spans="1:19" x14ac:dyDescent="0.3">
      <c r="A434" s="2">
        <v>44529</v>
      </c>
      <c r="B434">
        <v>101.1</v>
      </c>
      <c r="C434">
        <v>129.26</v>
      </c>
      <c r="D434">
        <v>148.16999999999999</v>
      </c>
      <c r="E434">
        <v>158.30000000000001</v>
      </c>
      <c r="F434">
        <v>135.53</v>
      </c>
      <c r="G434">
        <v>69.95</v>
      </c>
      <c r="H434">
        <v>73.44</v>
      </c>
      <c r="I434">
        <v>80.31</v>
      </c>
      <c r="J434">
        <v>61.59</v>
      </c>
      <c r="K434">
        <v>16.54</v>
      </c>
      <c r="L434">
        <v>70008.539999999994</v>
      </c>
      <c r="M434">
        <v>55041.18</v>
      </c>
      <c r="N434">
        <v>36.25</v>
      </c>
      <c r="O434">
        <v>6.1899999999999997E-2</v>
      </c>
      <c r="P434">
        <v>4.8540000000000001</v>
      </c>
      <c r="Q434">
        <v>131.9</v>
      </c>
      <c r="R434">
        <v>93.146000000000001</v>
      </c>
      <c r="S434">
        <v>243.67</v>
      </c>
    </row>
    <row r="435" spans="1:19" x14ac:dyDescent="0.3">
      <c r="A435" s="2">
        <v>44530</v>
      </c>
      <c r="B435">
        <v>101.1</v>
      </c>
      <c r="C435">
        <v>129.26</v>
      </c>
      <c r="D435">
        <v>148.16999999999999</v>
      </c>
      <c r="E435">
        <v>158.30000000000001</v>
      </c>
      <c r="F435">
        <v>135.53</v>
      </c>
      <c r="G435">
        <v>66.180000000000007</v>
      </c>
      <c r="H435">
        <v>70.569999999999993</v>
      </c>
      <c r="I435">
        <v>80.28</v>
      </c>
      <c r="J435">
        <v>59.84</v>
      </c>
      <c r="K435">
        <v>16.16</v>
      </c>
      <c r="L435">
        <v>70475.02</v>
      </c>
      <c r="M435">
        <v>58196.63</v>
      </c>
      <c r="N435">
        <v>35.945</v>
      </c>
      <c r="O435">
        <v>6.2909999999999994E-2</v>
      </c>
      <c r="P435">
        <v>4.5670000000000002</v>
      </c>
      <c r="Q435">
        <v>130.72</v>
      </c>
      <c r="R435">
        <v>92.515000000000001</v>
      </c>
      <c r="S435">
        <v>248.17</v>
      </c>
    </row>
    <row r="436" spans="1:19" x14ac:dyDescent="0.3">
      <c r="A436" s="2">
        <v>44531</v>
      </c>
      <c r="B436">
        <v>101.1</v>
      </c>
      <c r="C436">
        <v>129.26</v>
      </c>
      <c r="D436">
        <v>148.16999999999999</v>
      </c>
      <c r="E436">
        <v>158.30000000000001</v>
      </c>
      <c r="F436">
        <v>135.53</v>
      </c>
      <c r="G436">
        <v>65.569999999999993</v>
      </c>
      <c r="H436">
        <v>68.87</v>
      </c>
      <c r="I436">
        <v>67.73</v>
      </c>
      <c r="J436">
        <v>59.79</v>
      </c>
      <c r="K436">
        <v>16.98</v>
      </c>
      <c r="L436">
        <v>71198.080000000002</v>
      </c>
      <c r="M436">
        <v>59286.71</v>
      </c>
      <c r="N436">
        <v>35.884999999999998</v>
      </c>
      <c r="O436">
        <v>6.2300000000000001E-2</v>
      </c>
      <c r="P436">
        <v>4.258</v>
      </c>
      <c r="Q436">
        <v>129.02000000000001</v>
      </c>
      <c r="R436">
        <v>95.674999999999997</v>
      </c>
      <c r="S436">
        <v>243.32</v>
      </c>
    </row>
    <row r="437" spans="1:19" x14ac:dyDescent="0.3">
      <c r="A437" s="2">
        <v>44532</v>
      </c>
      <c r="B437">
        <v>101.1</v>
      </c>
      <c r="C437">
        <v>129.26</v>
      </c>
      <c r="D437">
        <v>148.16999999999999</v>
      </c>
      <c r="E437">
        <v>158.30000000000001</v>
      </c>
      <c r="F437">
        <v>135.53</v>
      </c>
      <c r="G437">
        <v>66.5</v>
      </c>
      <c r="H437">
        <v>69.67</v>
      </c>
      <c r="I437">
        <v>68.62</v>
      </c>
      <c r="J437">
        <v>61.28</v>
      </c>
      <c r="K437">
        <v>17.12</v>
      </c>
      <c r="L437">
        <v>71020.759999999995</v>
      </c>
      <c r="M437">
        <v>58265.21</v>
      </c>
      <c r="N437">
        <v>35.32</v>
      </c>
      <c r="O437">
        <v>6.2740000000000004E-2</v>
      </c>
      <c r="P437">
        <v>4.056</v>
      </c>
      <c r="Q437">
        <v>131.22</v>
      </c>
      <c r="R437">
        <v>94.83</v>
      </c>
      <c r="S437">
        <v>243.18</v>
      </c>
    </row>
    <row r="438" spans="1:19" x14ac:dyDescent="0.3">
      <c r="A438" s="2">
        <v>44533</v>
      </c>
      <c r="B438">
        <v>77.98</v>
      </c>
      <c r="C438">
        <v>99.91</v>
      </c>
      <c r="D438">
        <v>120.15</v>
      </c>
      <c r="E438">
        <v>128.44</v>
      </c>
      <c r="F438">
        <v>123.95</v>
      </c>
      <c r="G438">
        <v>66.260000000000005</v>
      </c>
      <c r="H438">
        <v>69.88</v>
      </c>
      <c r="I438">
        <v>68.91</v>
      </c>
      <c r="J438">
        <v>60.89</v>
      </c>
      <c r="K438">
        <v>18.399999999999999</v>
      </c>
      <c r="L438">
        <v>70807.600000000006</v>
      </c>
      <c r="M438">
        <v>58119.39</v>
      </c>
      <c r="N438">
        <v>34.19</v>
      </c>
      <c r="O438">
        <v>6.2210000000000001E-2</v>
      </c>
      <c r="P438">
        <v>4.1319999999999997</v>
      </c>
      <c r="Q438">
        <v>130.19</v>
      </c>
      <c r="R438">
        <v>89.48</v>
      </c>
      <c r="S438">
        <v>255.75</v>
      </c>
    </row>
    <row r="439" spans="1:19" x14ac:dyDescent="0.3">
      <c r="A439" s="2">
        <v>44536</v>
      </c>
      <c r="B439">
        <v>77.98</v>
      </c>
      <c r="C439">
        <v>99.91</v>
      </c>
      <c r="D439">
        <v>120.15</v>
      </c>
      <c r="E439">
        <v>128.44</v>
      </c>
      <c r="F439">
        <v>123.95</v>
      </c>
      <c r="G439">
        <v>69.489999999999995</v>
      </c>
      <c r="H439">
        <v>73.08</v>
      </c>
      <c r="I439">
        <v>71.650000000000006</v>
      </c>
      <c r="J439">
        <v>61.58</v>
      </c>
      <c r="K439">
        <v>18.28</v>
      </c>
      <c r="L439">
        <v>71016.63</v>
      </c>
      <c r="M439">
        <v>58372.55</v>
      </c>
      <c r="N439">
        <v>34.395000000000003</v>
      </c>
      <c r="O439">
        <v>6.2899999999999998E-2</v>
      </c>
      <c r="P439">
        <v>3.657</v>
      </c>
      <c r="Q439">
        <v>130.86000000000001</v>
      </c>
      <c r="R439">
        <v>89.93</v>
      </c>
      <c r="S439">
        <v>251.4</v>
      </c>
    </row>
    <row r="440" spans="1:19" x14ac:dyDescent="0.3">
      <c r="A440" s="2">
        <v>44537</v>
      </c>
      <c r="B440">
        <v>77.98</v>
      </c>
      <c r="C440">
        <v>99.91</v>
      </c>
      <c r="D440">
        <v>120.15</v>
      </c>
      <c r="E440">
        <v>128.44</v>
      </c>
      <c r="F440">
        <v>123.95</v>
      </c>
      <c r="G440">
        <v>72.05</v>
      </c>
      <c r="H440">
        <v>75.44</v>
      </c>
      <c r="I440">
        <v>73.540000000000006</v>
      </c>
      <c r="J440">
        <v>62.27</v>
      </c>
      <c r="K440">
        <v>18.02</v>
      </c>
      <c r="L440">
        <v>72939.25</v>
      </c>
      <c r="M440">
        <v>58538.73</v>
      </c>
      <c r="N440">
        <v>35.064999999999998</v>
      </c>
      <c r="O440">
        <v>6.3079999999999997E-2</v>
      </c>
      <c r="P440">
        <v>3.7080000000000002</v>
      </c>
      <c r="Q440">
        <v>134.01</v>
      </c>
      <c r="R440">
        <v>95.885000000000005</v>
      </c>
      <c r="S440">
        <v>254.95</v>
      </c>
    </row>
    <row r="441" spans="1:19" x14ac:dyDescent="0.3">
      <c r="A441" s="2">
        <v>44538</v>
      </c>
      <c r="B441">
        <v>77.98</v>
      </c>
      <c r="C441">
        <v>99.91</v>
      </c>
      <c r="D441">
        <v>120.15</v>
      </c>
      <c r="E441">
        <v>128.44</v>
      </c>
      <c r="F441">
        <v>123.95</v>
      </c>
      <c r="G441">
        <v>72.36</v>
      </c>
      <c r="H441">
        <v>75.819999999999993</v>
      </c>
      <c r="I441">
        <v>73.69</v>
      </c>
      <c r="J441">
        <v>62.45</v>
      </c>
      <c r="K441">
        <v>18</v>
      </c>
      <c r="L441">
        <v>72403.88</v>
      </c>
      <c r="M441">
        <v>56688.92</v>
      </c>
      <c r="N441">
        <v>35.15</v>
      </c>
      <c r="O441">
        <v>6.3640000000000002E-2</v>
      </c>
      <c r="P441">
        <v>3.8149999999999999</v>
      </c>
      <c r="Q441">
        <v>135.56</v>
      </c>
      <c r="R441">
        <v>101.5</v>
      </c>
      <c r="S441">
        <v>262.10000000000002</v>
      </c>
    </row>
    <row r="442" spans="1:19" x14ac:dyDescent="0.3">
      <c r="A442" s="2">
        <v>44539</v>
      </c>
      <c r="B442">
        <v>77.98</v>
      </c>
      <c r="C442">
        <v>99.91</v>
      </c>
      <c r="D442">
        <v>120.15</v>
      </c>
      <c r="E442">
        <v>128.44</v>
      </c>
      <c r="F442">
        <v>123.95</v>
      </c>
      <c r="G442">
        <v>70.94</v>
      </c>
      <c r="H442">
        <v>74.42</v>
      </c>
      <c r="I442">
        <v>72.72</v>
      </c>
      <c r="J442">
        <v>62.61</v>
      </c>
      <c r="K442">
        <v>18.18</v>
      </c>
      <c r="L442">
        <v>72207.64</v>
      </c>
      <c r="M442">
        <v>56341.2</v>
      </c>
      <c r="N442">
        <v>35.185000000000002</v>
      </c>
      <c r="O442">
        <v>6.275E-2</v>
      </c>
      <c r="P442">
        <v>3.8140000000000001</v>
      </c>
      <c r="Q442">
        <v>134.6</v>
      </c>
      <c r="R442">
        <v>100.44499999999999</v>
      </c>
      <c r="S442">
        <v>269.85000000000002</v>
      </c>
    </row>
    <row r="443" spans="1:19" x14ac:dyDescent="0.3">
      <c r="A443" s="2">
        <v>44540</v>
      </c>
      <c r="B443">
        <v>83.41</v>
      </c>
      <c r="C443">
        <v>106.41</v>
      </c>
      <c r="D443">
        <v>126.08</v>
      </c>
      <c r="E443">
        <v>132.66999999999999</v>
      </c>
      <c r="F443">
        <v>126</v>
      </c>
      <c r="G443">
        <v>71.67</v>
      </c>
      <c r="H443">
        <v>75.150000000000006</v>
      </c>
      <c r="I443">
        <v>73.19</v>
      </c>
      <c r="J443">
        <v>63.01</v>
      </c>
      <c r="K443">
        <v>18.14</v>
      </c>
      <c r="L443">
        <v>71686.33</v>
      </c>
      <c r="M443">
        <v>54893.34</v>
      </c>
      <c r="N443">
        <v>35.215000000000003</v>
      </c>
      <c r="O443">
        <v>6.2590000000000007E-2</v>
      </c>
      <c r="P443">
        <v>3.9249999999999998</v>
      </c>
      <c r="Q443">
        <v>135.54</v>
      </c>
      <c r="R443">
        <v>105.77500000000001</v>
      </c>
      <c r="S443">
        <v>295.25</v>
      </c>
    </row>
    <row r="444" spans="1:19" x14ac:dyDescent="0.3">
      <c r="A444" s="2">
        <v>44543</v>
      </c>
      <c r="B444">
        <v>83.41</v>
      </c>
      <c r="C444">
        <v>106.41</v>
      </c>
      <c r="D444">
        <v>126.08</v>
      </c>
      <c r="E444">
        <v>132.66999999999999</v>
      </c>
      <c r="F444">
        <v>126</v>
      </c>
      <c r="G444">
        <v>71.290000000000006</v>
      </c>
      <c r="H444">
        <v>74.39</v>
      </c>
      <c r="I444">
        <v>72.709999999999994</v>
      </c>
      <c r="J444">
        <v>61.63</v>
      </c>
      <c r="K444">
        <v>18.34</v>
      </c>
      <c r="L444">
        <v>71429.88</v>
      </c>
      <c r="M444">
        <v>54440.94</v>
      </c>
      <c r="N444">
        <v>35.729999999999997</v>
      </c>
      <c r="O444">
        <v>6.2379999999999998E-2</v>
      </c>
      <c r="P444">
        <v>3.794</v>
      </c>
      <c r="Q444">
        <v>135.58000000000001</v>
      </c>
      <c r="R444">
        <v>116.08499999999999</v>
      </c>
      <c r="S444">
        <v>284.95</v>
      </c>
    </row>
    <row r="445" spans="1:19" x14ac:dyDescent="0.3">
      <c r="A445" s="2">
        <v>44544</v>
      </c>
      <c r="B445">
        <v>83.41</v>
      </c>
      <c r="C445">
        <v>106.41</v>
      </c>
      <c r="D445">
        <v>126.08</v>
      </c>
      <c r="E445">
        <v>132.66999999999999</v>
      </c>
      <c r="F445">
        <v>126</v>
      </c>
      <c r="G445">
        <v>70.73</v>
      </c>
      <c r="H445">
        <v>73.7</v>
      </c>
      <c r="I445">
        <v>72.22</v>
      </c>
      <c r="J445">
        <v>61.54</v>
      </c>
      <c r="K445">
        <v>18</v>
      </c>
      <c r="L445">
        <v>71544.820000000007</v>
      </c>
      <c r="M445">
        <v>55218.94</v>
      </c>
      <c r="N445">
        <v>35.765000000000001</v>
      </c>
      <c r="O445">
        <v>6.2100000000000002E-2</v>
      </c>
      <c r="P445">
        <v>3.7469999999999999</v>
      </c>
      <c r="Q445">
        <v>133.81</v>
      </c>
      <c r="R445">
        <v>128.30000000000001</v>
      </c>
      <c r="S445">
        <v>278.95</v>
      </c>
    </row>
    <row r="446" spans="1:19" x14ac:dyDescent="0.3">
      <c r="A446" s="2">
        <v>44545</v>
      </c>
      <c r="B446">
        <v>83.41</v>
      </c>
      <c r="C446">
        <v>106.41</v>
      </c>
      <c r="D446">
        <v>126.08</v>
      </c>
      <c r="E446">
        <v>132.66999999999999</v>
      </c>
      <c r="F446">
        <v>126</v>
      </c>
      <c r="G446">
        <v>70.87</v>
      </c>
      <c r="H446">
        <v>73.88</v>
      </c>
      <c r="I446">
        <v>72.38</v>
      </c>
      <c r="J446">
        <v>61.27</v>
      </c>
      <c r="K446">
        <v>18.28</v>
      </c>
      <c r="L446">
        <v>71467.17</v>
      </c>
      <c r="M446">
        <v>54624.52</v>
      </c>
      <c r="N446">
        <v>35.869999999999997</v>
      </c>
      <c r="O446">
        <v>6.2579999999999997E-2</v>
      </c>
      <c r="P446">
        <v>3.802</v>
      </c>
      <c r="Q446">
        <v>135.12</v>
      </c>
      <c r="R446">
        <v>132.285</v>
      </c>
      <c r="S446">
        <v>261.60000000000002</v>
      </c>
    </row>
    <row r="447" spans="1:19" x14ac:dyDescent="0.3">
      <c r="A447" s="2">
        <v>44546</v>
      </c>
      <c r="B447">
        <v>83.41</v>
      </c>
      <c r="C447">
        <v>106.41</v>
      </c>
      <c r="D447">
        <v>126.08</v>
      </c>
      <c r="E447">
        <v>132.66999999999999</v>
      </c>
      <c r="F447">
        <v>126</v>
      </c>
      <c r="G447">
        <v>72.38</v>
      </c>
      <c r="H447">
        <v>75.02</v>
      </c>
      <c r="I447">
        <v>73.02</v>
      </c>
      <c r="J447">
        <v>61.37</v>
      </c>
      <c r="K447">
        <v>19.399999999999999</v>
      </c>
      <c r="L447">
        <v>68736.904810964072</v>
      </c>
      <c r="M447">
        <v>52972.178374291107</v>
      </c>
      <c r="N447">
        <v>43.445</v>
      </c>
      <c r="O447">
        <v>6.2700000000000006E-2</v>
      </c>
      <c r="P447">
        <v>3.766</v>
      </c>
      <c r="Q447">
        <v>135.99</v>
      </c>
      <c r="R447">
        <v>142.76499999999999</v>
      </c>
      <c r="S447">
        <v>265.89999999999998</v>
      </c>
    </row>
    <row r="448" spans="1:19" x14ac:dyDescent="0.3">
      <c r="A448" s="2">
        <v>44547</v>
      </c>
      <c r="B448">
        <v>91.4</v>
      </c>
      <c r="C448">
        <v>115.27</v>
      </c>
      <c r="D448">
        <v>135.33000000000001</v>
      </c>
      <c r="E448">
        <v>145.76</v>
      </c>
      <c r="F448">
        <v>123.63</v>
      </c>
      <c r="G448">
        <v>70.86</v>
      </c>
      <c r="H448">
        <v>73.52</v>
      </c>
      <c r="I448">
        <v>72.430000000000007</v>
      </c>
      <c r="J448">
        <v>60.03</v>
      </c>
      <c r="K448">
        <v>18.52</v>
      </c>
      <c r="L448">
        <v>71203.13</v>
      </c>
      <c r="M448">
        <v>56700.18</v>
      </c>
      <c r="N448">
        <v>42.45</v>
      </c>
      <c r="O448">
        <v>6.2939999999999996E-2</v>
      </c>
      <c r="P448">
        <v>3.69</v>
      </c>
      <c r="Q448">
        <v>133.38</v>
      </c>
      <c r="R448">
        <v>136.91499999999999</v>
      </c>
      <c r="S448">
        <v>256.10000000000002</v>
      </c>
    </row>
    <row r="449" spans="1:19" x14ac:dyDescent="0.3">
      <c r="A449" s="2">
        <v>44550</v>
      </c>
      <c r="B449">
        <v>91.4</v>
      </c>
      <c r="C449">
        <v>115.27</v>
      </c>
      <c r="D449">
        <v>135.33000000000001</v>
      </c>
      <c r="E449">
        <v>145.76</v>
      </c>
      <c r="F449">
        <v>123.63</v>
      </c>
      <c r="G449">
        <v>68.23</v>
      </c>
      <c r="H449">
        <v>71.52</v>
      </c>
      <c r="I449">
        <v>71.650000000000006</v>
      </c>
      <c r="J449">
        <v>59.16</v>
      </c>
      <c r="K449">
        <v>17.98</v>
      </c>
      <c r="L449">
        <v>70087.63</v>
      </c>
      <c r="M449">
        <v>54655.17</v>
      </c>
      <c r="N449">
        <v>45.024999999999999</v>
      </c>
      <c r="O449">
        <v>6.3409999999999994E-2</v>
      </c>
      <c r="P449">
        <v>3.8340000000000001</v>
      </c>
      <c r="Q449">
        <v>132.56</v>
      </c>
      <c r="R449">
        <v>146.92500000000001</v>
      </c>
      <c r="S449">
        <v>238.6</v>
      </c>
    </row>
    <row r="450" spans="1:19" x14ac:dyDescent="0.3">
      <c r="A450" s="2">
        <v>44551</v>
      </c>
      <c r="B450">
        <v>91.4</v>
      </c>
      <c r="C450">
        <v>115.27</v>
      </c>
      <c r="D450">
        <v>135.33000000000001</v>
      </c>
      <c r="E450">
        <v>145.76</v>
      </c>
      <c r="F450">
        <v>123.63</v>
      </c>
      <c r="G450">
        <v>71.12</v>
      </c>
      <c r="H450">
        <v>73.98</v>
      </c>
      <c r="I450">
        <v>72.42</v>
      </c>
      <c r="J450">
        <v>60.5</v>
      </c>
      <c r="K450">
        <v>18.16</v>
      </c>
      <c r="L450">
        <v>71119.360000000001</v>
      </c>
      <c r="M450">
        <v>56522.29</v>
      </c>
      <c r="N450">
        <v>49.344999999999999</v>
      </c>
      <c r="O450">
        <v>6.3079999999999997E-2</v>
      </c>
      <c r="P450">
        <v>3.8690000000000002</v>
      </c>
      <c r="Q450">
        <v>134.06</v>
      </c>
      <c r="R450">
        <v>180.26499999999999</v>
      </c>
      <c r="S450">
        <v>244.55</v>
      </c>
    </row>
    <row r="451" spans="1:19" x14ac:dyDescent="0.3">
      <c r="A451" s="2">
        <v>44552</v>
      </c>
      <c r="B451">
        <v>91.4</v>
      </c>
      <c r="C451">
        <v>115.27</v>
      </c>
      <c r="D451">
        <v>135.33000000000001</v>
      </c>
      <c r="E451">
        <v>145.76</v>
      </c>
      <c r="F451">
        <v>123.63</v>
      </c>
      <c r="G451">
        <v>72.760000000000005</v>
      </c>
      <c r="H451">
        <v>75.290000000000006</v>
      </c>
      <c r="I451">
        <v>72.709999999999994</v>
      </c>
      <c r="J451">
        <v>60.99</v>
      </c>
      <c r="K451">
        <v>18.399999999999999</v>
      </c>
      <c r="L451">
        <v>71359.039999999994</v>
      </c>
      <c r="M451">
        <v>56456.41</v>
      </c>
      <c r="N451">
        <v>46.015000000000001</v>
      </c>
      <c r="O451">
        <v>6.3619999999999996E-2</v>
      </c>
      <c r="P451">
        <v>3.976</v>
      </c>
      <c r="Q451">
        <v>135.24</v>
      </c>
      <c r="R451">
        <v>172.875</v>
      </c>
      <c r="S451">
        <v>254.05</v>
      </c>
    </row>
    <row r="452" spans="1:19" x14ac:dyDescent="0.3">
      <c r="A452" s="2">
        <v>44553</v>
      </c>
      <c r="B452">
        <v>91.4</v>
      </c>
      <c r="C452">
        <v>115.27</v>
      </c>
      <c r="D452">
        <v>135.33000000000001</v>
      </c>
      <c r="E452">
        <v>145.76</v>
      </c>
      <c r="F452">
        <v>123.63</v>
      </c>
      <c r="G452">
        <v>73.790000000000006</v>
      </c>
      <c r="H452">
        <v>76.849999999999994</v>
      </c>
      <c r="I452">
        <v>72.989999999999995</v>
      </c>
      <c r="J452">
        <v>61.02</v>
      </c>
      <c r="K452">
        <v>18.66</v>
      </c>
      <c r="L452">
        <v>71684.100000000006</v>
      </c>
      <c r="M452">
        <v>56379.11</v>
      </c>
      <c r="N452">
        <v>38.840000000000003</v>
      </c>
      <c r="O452">
        <v>6.3799999999999996E-2</v>
      </c>
      <c r="P452">
        <v>3.7309999999999999</v>
      </c>
      <c r="Q452">
        <v>135.84</v>
      </c>
      <c r="R452">
        <v>132.58000000000001</v>
      </c>
      <c r="S452">
        <v>255.5</v>
      </c>
    </row>
    <row r="453" spans="1:19" x14ac:dyDescent="0.3">
      <c r="A453" s="2">
        <v>44554</v>
      </c>
      <c r="B453">
        <v>90.92</v>
      </c>
      <c r="C453">
        <v>115.6</v>
      </c>
      <c r="D453">
        <v>138.08000000000001</v>
      </c>
      <c r="E453">
        <v>147.24</v>
      </c>
      <c r="F453">
        <v>130.54</v>
      </c>
      <c r="G453">
        <v>72.345468607825296</v>
      </c>
      <c r="H453">
        <v>76.14</v>
      </c>
      <c r="I453">
        <v>74.752492970946577</v>
      </c>
      <c r="J453">
        <v>80.871012183692585</v>
      </c>
      <c r="K453">
        <v>18.559999999999999</v>
      </c>
      <c r="L453">
        <v>71570.64</v>
      </c>
      <c r="M453">
        <v>56135</v>
      </c>
      <c r="N453">
        <v>17.62252908067542</v>
      </c>
      <c r="O453">
        <v>6.4229999999999995E-2</v>
      </c>
      <c r="P453">
        <v>3.697999090081892</v>
      </c>
      <c r="Q453">
        <v>112.7561105904405</v>
      </c>
      <c r="R453">
        <v>57.384855947955387</v>
      </c>
      <c r="S453">
        <v>250.75</v>
      </c>
    </row>
    <row r="454" spans="1:19" x14ac:dyDescent="0.3">
      <c r="A454" s="2">
        <v>44557</v>
      </c>
      <c r="B454">
        <v>87.953183520599239</v>
      </c>
      <c r="C454">
        <v>113.3531554307116</v>
      </c>
      <c r="D454">
        <v>134.97180711610491</v>
      </c>
      <c r="E454">
        <v>147.24</v>
      </c>
      <c r="F454">
        <v>123.75970973782771</v>
      </c>
      <c r="G454">
        <v>75.569999999999993</v>
      </c>
      <c r="H454">
        <v>78.599999999999994</v>
      </c>
      <c r="I454">
        <v>73.2</v>
      </c>
      <c r="J454">
        <v>61.89</v>
      </c>
      <c r="K454">
        <v>21.274702495201531</v>
      </c>
      <c r="L454">
        <v>68736.904810964072</v>
      </c>
      <c r="M454">
        <v>52972.178374291107</v>
      </c>
      <c r="N454">
        <v>40.98</v>
      </c>
      <c r="O454">
        <v>6.4329999999999998E-2</v>
      </c>
      <c r="P454">
        <v>4.0599999999999996</v>
      </c>
      <c r="Q454">
        <v>137.75</v>
      </c>
      <c r="R454">
        <v>106.895</v>
      </c>
      <c r="S454">
        <v>252.7</v>
      </c>
    </row>
    <row r="455" spans="1:19" x14ac:dyDescent="0.3">
      <c r="A455" s="2">
        <v>44558</v>
      </c>
      <c r="B455">
        <v>87.953183520599239</v>
      </c>
      <c r="C455">
        <v>113.3531554307116</v>
      </c>
      <c r="D455">
        <v>134.97180711610491</v>
      </c>
      <c r="E455">
        <v>147.24</v>
      </c>
      <c r="F455">
        <v>123.75970973782771</v>
      </c>
      <c r="G455">
        <v>75.98</v>
      </c>
      <c r="H455">
        <v>78.94</v>
      </c>
      <c r="I455">
        <v>73.16</v>
      </c>
      <c r="J455">
        <v>61.69</v>
      </c>
      <c r="K455">
        <v>18.38</v>
      </c>
      <c r="L455">
        <v>72444.52</v>
      </c>
      <c r="M455">
        <v>57191.23</v>
      </c>
      <c r="N455">
        <v>39.914999999999999</v>
      </c>
      <c r="O455">
        <v>6.3409999999999994E-2</v>
      </c>
      <c r="P455">
        <v>4.0549999999999997</v>
      </c>
      <c r="Q455">
        <v>137.63</v>
      </c>
      <c r="R455">
        <v>106.59</v>
      </c>
      <c r="S455">
        <v>255.2</v>
      </c>
    </row>
    <row r="456" spans="1:19" x14ac:dyDescent="0.3">
      <c r="A456" s="2">
        <v>44559</v>
      </c>
      <c r="B456">
        <v>90.92</v>
      </c>
      <c r="C456">
        <v>115.6</v>
      </c>
      <c r="D456">
        <v>138.08000000000001</v>
      </c>
      <c r="E456">
        <v>147.24</v>
      </c>
      <c r="F456">
        <v>130.54</v>
      </c>
      <c r="G456">
        <v>76.56</v>
      </c>
      <c r="H456">
        <v>79.23</v>
      </c>
      <c r="I456">
        <v>73.209999999999994</v>
      </c>
      <c r="J456">
        <v>61.15</v>
      </c>
      <c r="K456">
        <v>18.239999999999998</v>
      </c>
      <c r="L456">
        <v>73238.009999999995</v>
      </c>
      <c r="M456">
        <v>57023.28</v>
      </c>
      <c r="N456">
        <v>34.03</v>
      </c>
      <c r="O456">
        <v>6.2719999999999998E-2</v>
      </c>
      <c r="P456">
        <v>4.024</v>
      </c>
      <c r="Q456">
        <v>137.24</v>
      </c>
      <c r="R456">
        <v>96.474999999999994</v>
      </c>
      <c r="S456">
        <v>252.75</v>
      </c>
    </row>
    <row r="457" spans="1:19" x14ac:dyDescent="0.3">
      <c r="A457" s="2">
        <v>44560</v>
      </c>
      <c r="B457">
        <v>90.92</v>
      </c>
      <c r="C457">
        <v>115.6</v>
      </c>
      <c r="D457">
        <v>138.08000000000001</v>
      </c>
      <c r="E457">
        <v>147.24</v>
      </c>
      <c r="F457">
        <v>130.54</v>
      </c>
      <c r="G457">
        <v>76.989999999999995</v>
      </c>
      <c r="H457">
        <v>79.319999999999993</v>
      </c>
      <c r="I457">
        <v>73.2</v>
      </c>
      <c r="J457">
        <v>60.79</v>
      </c>
      <c r="K457">
        <v>18.16</v>
      </c>
      <c r="L457">
        <v>73786.45</v>
      </c>
      <c r="M457">
        <v>57727.73</v>
      </c>
      <c r="N457">
        <v>34.21</v>
      </c>
      <c r="O457">
        <v>6.2839999999999993E-2</v>
      </c>
      <c r="P457">
        <v>3.5609999999999999</v>
      </c>
      <c r="Q457">
        <v>136.78</v>
      </c>
      <c r="R457">
        <v>87.027000000000001</v>
      </c>
      <c r="S457">
        <v>247.7</v>
      </c>
    </row>
    <row r="458" spans="1:19" x14ac:dyDescent="0.3">
      <c r="A458" s="2">
        <v>44561</v>
      </c>
      <c r="B458">
        <v>75.540000000000006</v>
      </c>
      <c r="C458">
        <v>97.28</v>
      </c>
      <c r="D458">
        <v>115.55</v>
      </c>
      <c r="E458">
        <v>125.65</v>
      </c>
      <c r="F458">
        <v>125.77</v>
      </c>
      <c r="G458">
        <v>75.209999999999994</v>
      </c>
      <c r="H458">
        <v>77.78</v>
      </c>
      <c r="I458">
        <v>73.19</v>
      </c>
      <c r="J458">
        <v>61.19</v>
      </c>
      <c r="K458">
        <v>18.28</v>
      </c>
      <c r="L458">
        <v>73709.39</v>
      </c>
      <c r="M458">
        <v>58050.87</v>
      </c>
      <c r="N458">
        <v>30.495000000000001</v>
      </c>
      <c r="O458">
        <v>6.2469999999999998E-2</v>
      </c>
      <c r="P458">
        <v>3.73</v>
      </c>
      <c r="Q458">
        <v>136.77000000000001</v>
      </c>
      <c r="R458">
        <v>70.344999999999999</v>
      </c>
      <c r="S458">
        <v>252.8</v>
      </c>
    </row>
    <row r="459" spans="1:19" x14ac:dyDescent="0.3">
      <c r="A459" s="2">
        <v>44564</v>
      </c>
      <c r="B459">
        <v>87.953183520599239</v>
      </c>
      <c r="C459">
        <v>113.3531554307116</v>
      </c>
      <c r="D459">
        <v>134.97180711610491</v>
      </c>
      <c r="E459">
        <v>125.65</v>
      </c>
      <c r="F459">
        <v>123.75970973782771</v>
      </c>
      <c r="G459">
        <v>76.08</v>
      </c>
      <c r="H459">
        <v>78.98</v>
      </c>
      <c r="I459">
        <v>77.03</v>
      </c>
      <c r="J459">
        <v>63.54</v>
      </c>
      <c r="K459">
        <v>18.66</v>
      </c>
      <c r="L459">
        <v>73722.600000000006</v>
      </c>
      <c r="M459">
        <v>57183.4</v>
      </c>
      <c r="N459">
        <v>30.504999999999999</v>
      </c>
      <c r="O459">
        <v>6.2829999999999997E-2</v>
      </c>
      <c r="P459">
        <v>3.8149999999999999</v>
      </c>
      <c r="Q459">
        <v>133.94999999999999</v>
      </c>
      <c r="R459">
        <v>80.435000000000002</v>
      </c>
      <c r="S459">
        <v>258.2</v>
      </c>
    </row>
    <row r="460" spans="1:19" x14ac:dyDescent="0.3">
      <c r="A460" s="2">
        <v>44565</v>
      </c>
      <c r="B460">
        <v>75.540000000000006</v>
      </c>
      <c r="C460">
        <v>97.28</v>
      </c>
      <c r="D460">
        <v>115.55</v>
      </c>
      <c r="E460">
        <v>125.65</v>
      </c>
      <c r="F460">
        <v>125.77</v>
      </c>
      <c r="G460">
        <v>76.989999999999995</v>
      </c>
      <c r="H460">
        <v>80</v>
      </c>
      <c r="I460">
        <v>78.03</v>
      </c>
      <c r="J460">
        <v>65.930000000000007</v>
      </c>
      <c r="K460">
        <v>18.440000000000001</v>
      </c>
      <c r="L460">
        <v>75052.06</v>
      </c>
      <c r="M460">
        <v>58447.41</v>
      </c>
      <c r="N460">
        <v>32.744999999999997</v>
      </c>
      <c r="O460">
        <v>6.2460000000000002E-2</v>
      </c>
      <c r="P460">
        <v>3.7170000000000001</v>
      </c>
      <c r="Q460">
        <v>134.07</v>
      </c>
      <c r="R460">
        <v>88.74</v>
      </c>
      <c r="S460">
        <v>261.64999999999998</v>
      </c>
    </row>
    <row r="461" spans="1:19" x14ac:dyDescent="0.3">
      <c r="A461" s="2">
        <v>44566</v>
      </c>
      <c r="B461">
        <v>75.540000000000006</v>
      </c>
      <c r="C461">
        <v>97.28</v>
      </c>
      <c r="D461">
        <v>115.55</v>
      </c>
      <c r="E461">
        <v>125.65</v>
      </c>
      <c r="F461">
        <v>125.77</v>
      </c>
      <c r="G461">
        <v>77.849999999999994</v>
      </c>
      <c r="H461">
        <v>80.8</v>
      </c>
      <c r="I461">
        <v>78.81</v>
      </c>
      <c r="J461">
        <v>66.75</v>
      </c>
      <c r="K461">
        <v>18.8</v>
      </c>
      <c r="L461">
        <v>75060.92</v>
      </c>
      <c r="M461">
        <v>58719.08</v>
      </c>
      <c r="N461">
        <v>34.19</v>
      </c>
      <c r="O461">
        <v>6.2850000000000003E-2</v>
      </c>
      <c r="P461">
        <v>3.8820000000000001</v>
      </c>
      <c r="Q461">
        <v>132.38999999999999</v>
      </c>
      <c r="R461">
        <v>91.52</v>
      </c>
      <c r="S461">
        <v>260.64999999999998</v>
      </c>
    </row>
    <row r="462" spans="1:19" x14ac:dyDescent="0.3">
      <c r="A462" s="2">
        <v>44567</v>
      </c>
      <c r="B462">
        <v>75.540000000000006</v>
      </c>
      <c r="C462">
        <v>97.28</v>
      </c>
      <c r="D462">
        <v>115.55</v>
      </c>
      <c r="E462">
        <v>125.65</v>
      </c>
      <c r="F462">
        <v>125.77</v>
      </c>
      <c r="G462">
        <v>79.459999999999994</v>
      </c>
      <c r="H462">
        <v>81.99</v>
      </c>
      <c r="I462">
        <v>79.69</v>
      </c>
      <c r="J462">
        <v>68.319999999999993</v>
      </c>
      <c r="K462">
        <v>18.559999999999999</v>
      </c>
      <c r="L462">
        <v>74165.25</v>
      </c>
      <c r="M462">
        <v>56148.93</v>
      </c>
      <c r="N462">
        <v>34.07</v>
      </c>
      <c r="O462">
        <v>6.3519999999999993E-2</v>
      </c>
      <c r="P462">
        <v>3.8119999999999998</v>
      </c>
      <c r="Q462">
        <v>133.16</v>
      </c>
      <c r="R462">
        <v>96.5</v>
      </c>
      <c r="S462">
        <v>261.10000000000002</v>
      </c>
    </row>
    <row r="463" spans="1:19" x14ac:dyDescent="0.3">
      <c r="A463" s="2">
        <v>44568</v>
      </c>
      <c r="B463">
        <v>87.11</v>
      </c>
      <c r="C463">
        <v>110.04</v>
      </c>
      <c r="D463">
        <v>128.79</v>
      </c>
      <c r="E463">
        <v>143.52000000000001</v>
      </c>
      <c r="F463">
        <v>138.80000000000001</v>
      </c>
      <c r="G463">
        <v>78.900000000000006</v>
      </c>
      <c r="H463">
        <v>81.75</v>
      </c>
      <c r="I463">
        <v>79.53</v>
      </c>
      <c r="J463">
        <v>68.88</v>
      </c>
      <c r="K463">
        <v>18.420000000000002</v>
      </c>
      <c r="L463">
        <v>73939.710000000006</v>
      </c>
      <c r="M463">
        <v>55886.2</v>
      </c>
      <c r="N463">
        <v>33.950000000000003</v>
      </c>
      <c r="O463">
        <v>6.411E-2</v>
      </c>
      <c r="P463">
        <v>3.9159999999999999</v>
      </c>
      <c r="Q463">
        <v>133.25</v>
      </c>
      <c r="R463">
        <v>88.174999999999997</v>
      </c>
      <c r="S463">
        <v>260.85000000000002</v>
      </c>
    </row>
    <row r="464" spans="1:19" x14ac:dyDescent="0.3">
      <c r="A464" s="2">
        <v>44571</v>
      </c>
      <c r="B464">
        <v>87.11</v>
      </c>
      <c r="C464">
        <v>110.04</v>
      </c>
      <c r="D464">
        <v>128.79</v>
      </c>
      <c r="E464">
        <v>143.52000000000001</v>
      </c>
      <c r="F464">
        <v>138.80000000000001</v>
      </c>
      <c r="G464">
        <v>78.23</v>
      </c>
      <c r="H464">
        <v>80.87</v>
      </c>
      <c r="I464">
        <v>78.89</v>
      </c>
      <c r="J464">
        <v>68.47</v>
      </c>
      <c r="K464">
        <v>18.78</v>
      </c>
      <c r="L464">
        <v>73830.47</v>
      </c>
      <c r="M464">
        <v>56448.04</v>
      </c>
      <c r="N464">
        <v>33.265000000000001</v>
      </c>
      <c r="O464">
        <v>6.3820000000000002E-2</v>
      </c>
      <c r="P464">
        <v>4.0789999999999997</v>
      </c>
      <c r="Q464">
        <v>131.5</v>
      </c>
      <c r="R464">
        <v>84.605000000000004</v>
      </c>
      <c r="S464">
        <v>260.8</v>
      </c>
    </row>
    <row r="465" spans="1:19" x14ac:dyDescent="0.3">
      <c r="A465" s="2">
        <v>44572</v>
      </c>
      <c r="B465">
        <v>87.11</v>
      </c>
      <c r="C465">
        <v>110.04</v>
      </c>
      <c r="D465">
        <v>128.79</v>
      </c>
      <c r="E465">
        <v>143.52000000000001</v>
      </c>
      <c r="F465">
        <v>138.80000000000001</v>
      </c>
      <c r="G465">
        <v>81.22</v>
      </c>
      <c r="H465">
        <v>83.72</v>
      </c>
      <c r="I465">
        <v>80.790000000000006</v>
      </c>
      <c r="J465">
        <v>71.349999999999994</v>
      </c>
      <c r="K465">
        <v>18.78</v>
      </c>
      <c r="L465">
        <v>73971.429999999993</v>
      </c>
      <c r="M465">
        <v>58715.81</v>
      </c>
      <c r="N465">
        <v>32.914999999999999</v>
      </c>
      <c r="O465">
        <v>6.4380000000000007E-2</v>
      </c>
      <c r="P465">
        <v>4.2489999999999997</v>
      </c>
      <c r="Q465">
        <v>131.94999999999999</v>
      </c>
      <c r="R465">
        <v>78.734999999999999</v>
      </c>
      <c r="S465">
        <v>259.3</v>
      </c>
    </row>
    <row r="466" spans="1:19" x14ac:dyDescent="0.3">
      <c r="A466" s="2">
        <v>44573</v>
      </c>
      <c r="B466">
        <v>87.11</v>
      </c>
      <c r="C466">
        <v>110.04</v>
      </c>
      <c r="D466">
        <v>128.79</v>
      </c>
      <c r="E466">
        <v>143.52000000000001</v>
      </c>
      <c r="F466">
        <v>138.80000000000001</v>
      </c>
      <c r="G466">
        <v>82.64</v>
      </c>
      <c r="H466">
        <v>84.67</v>
      </c>
      <c r="I466">
        <v>81.34</v>
      </c>
      <c r="J466">
        <v>71.14</v>
      </c>
      <c r="K466">
        <v>19.3</v>
      </c>
      <c r="L466">
        <v>75884.75</v>
      </c>
      <c r="M466">
        <v>60392.41</v>
      </c>
      <c r="N466">
        <v>33</v>
      </c>
      <c r="O466">
        <v>6.5320000000000003E-2</v>
      </c>
      <c r="P466">
        <v>4.8570000000000002</v>
      </c>
      <c r="Q466">
        <v>133.47999999999999</v>
      </c>
      <c r="R466">
        <v>75.155000000000001</v>
      </c>
      <c r="S466">
        <v>259.75</v>
      </c>
    </row>
    <row r="467" spans="1:19" x14ac:dyDescent="0.3">
      <c r="A467" s="2">
        <v>44574</v>
      </c>
      <c r="B467">
        <v>87.11</v>
      </c>
      <c r="C467">
        <v>110.04</v>
      </c>
      <c r="D467">
        <v>128.79</v>
      </c>
      <c r="E467">
        <v>143.52000000000001</v>
      </c>
      <c r="F467">
        <v>138.80000000000001</v>
      </c>
      <c r="G467">
        <v>82.12</v>
      </c>
      <c r="H467">
        <v>84.47</v>
      </c>
      <c r="I467">
        <v>81.3</v>
      </c>
      <c r="J467">
        <v>70.63</v>
      </c>
      <c r="K467">
        <v>19.7</v>
      </c>
      <c r="L467">
        <v>75925.55</v>
      </c>
      <c r="M467">
        <v>59576.79</v>
      </c>
      <c r="N467">
        <v>32.604999999999997</v>
      </c>
      <c r="O467">
        <v>6.4869999999999997E-2</v>
      </c>
      <c r="P467">
        <v>4.2699999999999996</v>
      </c>
      <c r="Q467">
        <v>129.56</v>
      </c>
      <c r="R467">
        <v>85.46</v>
      </c>
      <c r="S467">
        <v>265.95</v>
      </c>
    </row>
    <row r="468" spans="1:19" x14ac:dyDescent="0.3">
      <c r="A468" s="2">
        <v>44575</v>
      </c>
      <c r="B468">
        <v>96.51</v>
      </c>
      <c r="C468">
        <v>126.32</v>
      </c>
      <c r="D468">
        <v>139.82</v>
      </c>
      <c r="E468">
        <v>162.57</v>
      </c>
      <c r="F468">
        <v>147.83000000000001</v>
      </c>
      <c r="G468">
        <v>83.82</v>
      </c>
      <c r="H468">
        <v>86.06</v>
      </c>
      <c r="I468">
        <v>82.27</v>
      </c>
      <c r="J468">
        <v>71.87</v>
      </c>
      <c r="K468">
        <v>19.66</v>
      </c>
      <c r="L468">
        <v>75160.210000000006</v>
      </c>
      <c r="M468">
        <v>58002.61</v>
      </c>
      <c r="N468">
        <v>32.844999999999999</v>
      </c>
      <c r="O468">
        <v>6.4960000000000004E-2</v>
      </c>
      <c r="P468">
        <v>4.2619999999999996</v>
      </c>
      <c r="Q468">
        <v>126.6</v>
      </c>
      <c r="R468">
        <v>86.97</v>
      </c>
      <c r="S468">
        <v>266.85000000000002</v>
      </c>
    </row>
    <row r="469" spans="1:19" x14ac:dyDescent="0.3">
      <c r="A469" s="2">
        <v>44578</v>
      </c>
      <c r="B469">
        <v>96.51</v>
      </c>
      <c r="C469">
        <v>126.32</v>
      </c>
      <c r="D469">
        <v>139.82</v>
      </c>
      <c r="E469">
        <v>162.57</v>
      </c>
      <c r="F469">
        <v>147.83000000000001</v>
      </c>
      <c r="G469">
        <v>83.69</v>
      </c>
      <c r="H469">
        <v>86.48</v>
      </c>
      <c r="I469">
        <v>74.752492970946577</v>
      </c>
      <c r="J469">
        <v>80.871012183692585</v>
      </c>
      <c r="K469">
        <v>19.68</v>
      </c>
      <c r="L469">
        <v>75593.47</v>
      </c>
      <c r="M469">
        <v>57327.54</v>
      </c>
      <c r="N469">
        <v>17.62252908067542</v>
      </c>
      <c r="O469">
        <v>6.5000000000000002E-2</v>
      </c>
      <c r="P469">
        <v>4.2759999999999998</v>
      </c>
      <c r="Q469">
        <v>112.7561105904405</v>
      </c>
      <c r="R469">
        <v>78.22</v>
      </c>
      <c r="S469">
        <v>266.05</v>
      </c>
    </row>
    <row r="470" spans="1:19" x14ac:dyDescent="0.3">
      <c r="A470" s="2">
        <v>44579</v>
      </c>
      <c r="B470">
        <v>96.51</v>
      </c>
      <c r="C470">
        <v>126.32</v>
      </c>
      <c r="D470">
        <v>139.82</v>
      </c>
      <c r="E470">
        <v>162.57</v>
      </c>
      <c r="F470">
        <v>147.83000000000001</v>
      </c>
      <c r="G470">
        <v>85.43</v>
      </c>
      <c r="H470">
        <v>87.51</v>
      </c>
      <c r="I470">
        <v>83.22</v>
      </c>
      <c r="J470">
        <v>73.08</v>
      </c>
      <c r="K470">
        <v>19.98</v>
      </c>
      <c r="L470">
        <v>74955.66</v>
      </c>
      <c r="M470">
        <v>56039.11</v>
      </c>
      <c r="N470">
        <v>22.934999999999999</v>
      </c>
      <c r="O470">
        <v>6.4399999999999999E-2</v>
      </c>
      <c r="P470">
        <v>4.2830000000000004</v>
      </c>
      <c r="Q470">
        <v>126.38</v>
      </c>
      <c r="R470">
        <v>78.334999999999994</v>
      </c>
      <c r="S470">
        <v>253.1</v>
      </c>
    </row>
    <row r="471" spans="1:19" x14ac:dyDescent="0.3">
      <c r="A471" s="2">
        <v>44580</v>
      </c>
      <c r="B471">
        <v>96.51</v>
      </c>
      <c r="C471">
        <v>126.32</v>
      </c>
      <c r="D471">
        <v>139.82</v>
      </c>
      <c r="E471">
        <v>162.57</v>
      </c>
      <c r="F471">
        <v>147.83000000000001</v>
      </c>
      <c r="G471">
        <v>86.96</v>
      </c>
      <c r="H471">
        <v>88.44</v>
      </c>
      <c r="I471">
        <v>83.56</v>
      </c>
      <c r="J471">
        <v>73.11</v>
      </c>
      <c r="K471">
        <v>20.75</v>
      </c>
      <c r="L471">
        <v>76176.149999999994</v>
      </c>
      <c r="M471">
        <v>57924.76</v>
      </c>
      <c r="N471">
        <v>21.14</v>
      </c>
      <c r="O471">
        <v>6.5180000000000002E-2</v>
      </c>
      <c r="P471">
        <v>4.0309999999999997</v>
      </c>
      <c r="Q471">
        <v>125.81</v>
      </c>
      <c r="R471">
        <v>75.599999999999994</v>
      </c>
      <c r="S471">
        <v>260.05</v>
      </c>
    </row>
    <row r="472" spans="1:19" x14ac:dyDescent="0.3">
      <c r="A472" s="2">
        <v>44581</v>
      </c>
      <c r="B472">
        <v>96.51</v>
      </c>
      <c r="C472">
        <v>126.32</v>
      </c>
      <c r="D472">
        <v>139.82</v>
      </c>
      <c r="E472">
        <v>162.57</v>
      </c>
      <c r="F472">
        <v>147.83000000000001</v>
      </c>
      <c r="G472">
        <v>86.9</v>
      </c>
      <c r="H472">
        <v>88.38</v>
      </c>
      <c r="I472">
        <v>83.5</v>
      </c>
      <c r="J472">
        <v>73.27</v>
      </c>
      <c r="K472">
        <v>20.95</v>
      </c>
      <c r="L472">
        <v>76233.259999999995</v>
      </c>
      <c r="M472">
        <v>60249.54</v>
      </c>
      <c r="N472">
        <v>20.524999999999999</v>
      </c>
      <c r="O472">
        <v>6.5720000000000001E-2</v>
      </c>
      <c r="P472">
        <v>3.802</v>
      </c>
      <c r="Q472">
        <v>126.12</v>
      </c>
      <c r="R472">
        <v>75.204999999999998</v>
      </c>
      <c r="S472">
        <v>259.75</v>
      </c>
    </row>
    <row r="473" spans="1:19" x14ac:dyDescent="0.3">
      <c r="A473" s="2">
        <v>44582</v>
      </c>
      <c r="B473">
        <v>114.04</v>
      </c>
      <c r="C473">
        <v>138.43</v>
      </c>
      <c r="D473">
        <v>158.47</v>
      </c>
      <c r="E473">
        <v>182.55</v>
      </c>
      <c r="F473">
        <v>159.43</v>
      </c>
      <c r="G473">
        <v>85.14</v>
      </c>
      <c r="H473">
        <v>87.89</v>
      </c>
      <c r="I473">
        <v>83.29</v>
      </c>
      <c r="J473">
        <v>72.17</v>
      </c>
      <c r="K473">
        <v>21.15</v>
      </c>
      <c r="L473">
        <v>74834.52</v>
      </c>
      <c r="M473">
        <v>59501.14</v>
      </c>
      <c r="N473">
        <v>22.09</v>
      </c>
      <c r="O473">
        <v>6.6140000000000004E-2</v>
      </c>
      <c r="P473">
        <v>3.9990000000000001</v>
      </c>
      <c r="Q473">
        <v>125.64</v>
      </c>
      <c r="R473">
        <v>78.98</v>
      </c>
      <c r="S473">
        <v>251.7</v>
      </c>
    </row>
    <row r="474" spans="1:19" x14ac:dyDescent="0.3">
      <c r="A474" s="2">
        <v>44585</v>
      </c>
      <c r="B474">
        <v>114.04</v>
      </c>
      <c r="C474">
        <v>138.43</v>
      </c>
      <c r="D474">
        <v>158.47</v>
      </c>
      <c r="E474">
        <v>182.55</v>
      </c>
      <c r="F474">
        <v>159.43</v>
      </c>
      <c r="G474">
        <v>83.31</v>
      </c>
      <c r="H474">
        <v>86.27</v>
      </c>
      <c r="I474">
        <v>82.87</v>
      </c>
      <c r="J474">
        <v>72.790000000000006</v>
      </c>
      <c r="K474">
        <v>21.15</v>
      </c>
      <c r="L474">
        <v>72164.02</v>
      </c>
      <c r="M474">
        <v>56367.01</v>
      </c>
      <c r="N474">
        <v>25.19</v>
      </c>
      <c r="O474">
        <v>6.5449999999999994E-2</v>
      </c>
      <c r="P474">
        <v>4.0270000000000001</v>
      </c>
      <c r="Q474">
        <v>125.32</v>
      </c>
      <c r="R474">
        <v>93</v>
      </c>
      <c r="S474">
        <v>240.05</v>
      </c>
    </row>
    <row r="475" spans="1:19" x14ac:dyDescent="0.3">
      <c r="A475" s="2">
        <v>44586</v>
      </c>
      <c r="B475">
        <v>114.04</v>
      </c>
      <c r="C475">
        <v>138.43</v>
      </c>
      <c r="D475">
        <v>158.47</v>
      </c>
      <c r="E475">
        <v>182.55</v>
      </c>
      <c r="F475">
        <v>159.43</v>
      </c>
      <c r="G475">
        <v>85.6</v>
      </c>
      <c r="H475">
        <v>88.2</v>
      </c>
      <c r="I475">
        <v>83.21</v>
      </c>
      <c r="J475">
        <v>74.930000000000007</v>
      </c>
      <c r="K475">
        <v>20.55</v>
      </c>
      <c r="L475">
        <v>72314.81</v>
      </c>
      <c r="M475">
        <v>58074.63</v>
      </c>
      <c r="N475">
        <v>26.004999999999999</v>
      </c>
      <c r="O475">
        <v>6.5619999999999998E-2</v>
      </c>
      <c r="P475">
        <v>4.0529999999999999</v>
      </c>
      <c r="Q475">
        <v>123.95</v>
      </c>
      <c r="R475">
        <v>93.58</v>
      </c>
      <c r="S475">
        <v>238.7</v>
      </c>
    </row>
    <row r="476" spans="1:19" x14ac:dyDescent="0.3">
      <c r="A476" s="2">
        <v>44587</v>
      </c>
      <c r="B476">
        <v>114.04</v>
      </c>
      <c r="C476">
        <v>138.43</v>
      </c>
      <c r="D476">
        <v>158.47</v>
      </c>
      <c r="E476">
        <v>182.55</v>
      </c>
      <c r="F476">
        <v>159.43</v>
      </c>
      <c r="G476">
        <v>87.35</v>
      </c>
      <c r="H476">
        <v>89.96</v>
      </c>
      <c r="I476">
        <v>83.39</v>
      </c>
      <c r="J476">
        <v>74.17</v>
      </c>
      <c r="K476">
        <v>20.55</v>
      </c>
      <c r="L476">
        <v>73797.33</v>
      </c>
      <c r="M476">
        <v>60175.79</v>
      </c>
      <c r="N476">
        <v>25.824999999999999</v>
      </c>
      <c r="O476">
        <v>6.522E-2</v>
      </c>
      <c r="P476">
        <v>4.2770000000000001</v>
      </c>
      <c r="Q476">
        <v>122.15</v>
      </c>
      <c r="R476">
        <v>91.834999999999994</v>
      </c>
      <c r="S476">
        <v>141.61602674307539</v>
      </c>
    </row>
    <row r="477" spans="1:19" x14ac:dyDescent="0.3">
      <c r="A477" s="2">
        <v>44588</v>
      </c>
      <c r="B477">
        <v>114.04</v>
      </c>
      <c r="C477">
        <v>138.43</v>
      </c>
      <c r="D477">
        <v>158.47</v>
      </c>
      <c r="E477">
        <v>182.55</v>
      </c>
      <c r="F477">
        <v>159.43</v>
      </c>
      <c r="G477">
        <v>86.61</v>
      </c>
      <c r="H477">
        <v>89.34</v>
      </c>
      <c r="I477">
        <v>83.33</v>
      </c>
      <c r="J477">
        <v>75.12</v>
      </c>
      <c r="K477">
        <v>20.3</v>
      </c>
      <c r="L477">
        <v>73504.039999999994</v>
      </c>
      <c r="M477">
        <v>57337.73</v>
      </c>
      <c r="N477">
        <v>25.274999999999999</v>
      </c>
      <c r="O477">
        <v>6.4619999999999997E-2</v>
      </c>
      <c r="P477">
        <v>4.2830000000000004</v>
      </c>
      <c r="Q477">
        <v>122.4</v>
      </c>
      <c r="R477">
        <v>92.3</v>
      </c>
      <c r="S477">
        <v>230.4</v>
      </c>
    </row>
    <row r="478" spans="1:19" x14ac:dyDescent="0.3">
      <c r="A478" s="2">
        <v>44589</v>
      </c>
      <c r="B478">
        <v>125.83</v>
      </c>
      <c r="C478">
        <v>148.91</v>
      </c>
      <c r="D478">
        <v>173.55</v>
      </c>
      <c r="E478">
        <v>201.3</v>
      </c>
      <c r="F478">
        <v>165.91</v>
      </c>
      <c r="G478">
        <v>86.82</v>
      </c>
      <c r="H478">
        <v>90.03</v>
      </c>
      <c r="I478">
        <v>83.36</v>
      </c>
      <c r="J478">
        <v>75.28</v>
      </c>
      <c r="K478">
        <v>19.5</v>
      </c>
      <c r="L478">
        <v>73454.960000000006</v>
      </c>
      <c r="M478">
        <v>55542.58</v>
      </c>
      <c r="N478">
        <v>26.81</v>
      </c>
      <c r="O478">
        <v>6.4079999999999998E-2</v>
      </c>
      <c r="P478">
        <v>4.6390000000000002</v>
      </c>
      <c r="Q478">
        <v>124.35</v>
      </c>
      <c r="R478">
        <v>92.061999999999998</v>
      </c>
      <c r="S478">
        <v>232.9</v>
      </c>
    </row>
    <row r="479" spans="1:19" x14ac:dyDescent="0.3">
      <c r="A479" s="2">
        <v>44592</v>
      </c>
      <c r="B479">
        <v>125.83</v>
      </c>
      <c r="C479">
        <v>148.91</v>
      </c>
      <c r="D479">
        <v>173.55</v>
      </c>
      <c r="E479">
        <v>201.3</v>
      </c>
      <c r="F479">
        <v>165.91</v>
      </c>
      <c r="G479">
        <v>88.15</v>
      </c>
      <c r="H479">
        <v>91.21</v>
      </c>
      <c r="I479">
        <v>83.45</v>
      </c>
      <c r="J479">
        <v>75.959999999999994</v>
      </c>
      <c r="K479">
        <v>19.079999999999998</v>
      </c>
      <c r="L479">
        <v>74304.56</v>
      </c>
      <c r="M479">
        <v>57645.58</v>
      </c>
      <c r="N479">
        <v>24.71</v>
      </c>
      <c r="O479">
        <v>6.4909999999999995E-2</v>
      </c>
      <c r="P479">
        <v>4.8739999999999997</v>
      </c>
      <c r="Q479">
        <v>126.66</v>
      </c>
      <c r="R479">
        <v>84.67</v>
      </c>
      <c r="S479">
        <v>235.45</v>
      </c>
    </row>
    <row r="480" spans="1:19" x14ac:dyDescent="0.3">
      <c r="A480" s="2">
        <v>44593</v>
      </c>
      <c r="B480">
        <v>125.83</v>
      </c>
      <c r="C480">
        <v>148.91</v>
      </c>
      <c r="D480">
        <v>173.55</v>
      </c>
      <c r="E480">
        <v>201.3</v>
      </c>
      <c r="F480">
        <v>165.91</v>
      </c>
      <c r="G480">
        <v>88.2</v>
      </c>
      <c r="H480">
        <v>89.16</v>
      </c>
      <c r="I480">
        <v>87.42</v>
      </c>
      <c r="J480">
        <v>80.83</v>
      </c>
      <c r="K480">
        <v>21.274702495201531</v>
      </c>
      <c r="L480">
        <v>74889.17</v>
      </c>
      <c r="M480">
        <v>57504.49</v>
      </c>
      <c r="N480">
        <v>23.704999999999998</v>
      </c>
      <c r="O480">
        <v>6.547E-2</v>
      </c>
      <c r="P480">
        <v>4.7510000000000003</v>
      </c>
      <c r="Q480">
        <v>127.04</v>
      </c>
      <c r="R480">
        <v>76.165000000000006</v>
      </c>
      <c r="S480">
        <v>233.75</v>
      </c>
    </row>
    <row r="481" spans="1:19" x14ac:dyDescent="0.3">
      <c r="A481" s="2">
        <v>44594</v>
      </c>
      <c r="B481">
        <v>125.83</v>
      </c>
      <c r="C481">
        <v>148.91</v>
      </c>
      <c r="D481">
        <v>173.55</v>
      </c>
      <c r="E481">
        <v>201.3</v>
      </c>
      <c r="F481">
        <v>165.91</v>
      </c>
      <c r="G481">
        <v>88.26</v>
      </c>
      <c r="H481">
        <v>89.47</v>
      </c>
      <c r="I481">
        <v>87.77</v>
      </c>
      <c r="J481">
        <v>80.62</v>
      </c>
      <c r="K481">
        <v>21.274702495201531</v>
      </c>
      <c r="L481">
        <v>75190.740000000005</v>
      </c>
      <c r="M481">
        <v>57157.11</v>
      </c>
      <c r="N481">
        <v>24.2</v>
      </c>
      <c r="O481">
        <v>6.515E-2</v>
      </c>
      <c r="P481">
        <v>5.5010000000000003</v>
      </c>
      <c r="Q481">
        <v>129.03</v>
      </c>
      <c r="R481">
        <v>77.349999999999994</v>
      </c>
      <c r="S481">
        <v>239.75</v>
      </c>
    </row>
    <row r="482" spans="1:19" x14ac:dyDescent="0.3">
      <c r="A482" s="2">
        <v>44595</v>
      </c>
      <c r="B482">
        <v>125.83</v>
      </c>
      <c r="C482">
        <v>148.91</v>
      </c>
      <c r="D482">
        <v>173.55</v>
      </c>
      <c r="E482">
        <v>201.3</v>
      </c>
      <c r="F482">
        <v>165.91</v>
      </c>
      <c r="G482">
        <v>90.27</v>
      </c>
      <c r="H482">
        <v>91.11</v>
      </c>
      <c r="I482">
        <v>89.16</v>
      </c>
      <c r="J482">
        <v>79.680000000000007</v>
      </c>
      <c r="K482">
        <v>21.274702495201531</v>
      </c>
      <c r="L482">
        <v>75021.67</v>
      </c>
      <c r="M482">
        <v>56361.59</v>
      </c>
      <c r="N482">
        <v>24.34</v>
      </c>
      <c r="O482">
        <v>6.547E-2</v>
      </c>
      <c r="P482">
        <v>4.8879999999999999</v>
      </c>
      <c r="Q482">
        <v>127.89</v>
      </c>
      <c r="R482">
        <v>80.224999999999994</v>
      </c>
      <c r="S482">
        <v>235.6</v>
      </c>
    </row>
    <row r="483" spans="1:19" x14ac:dyDescent="0.3">
      <c r="A483" s="2">
        <v>44596</v>
      </c>
      <c r="B483">
        <v>109</v>
      </c>
      <c r="C483">
        <v>138.88999999999999</v>
      </c>
      <c r="D483">
        <v>153.16</v>
      </c>
      <c r="E483">
        <v>183.78</v>
      </c>
      <c r="F483">
        <v>169.78</v>
      </c>
      <c r="G483">
        <v>92.31</v>
      </c>
      <c r="H483">
        <v>93.27</v>
      </c>
      <c r="I483">
        <v>91.06</v>
      </c>
      <c r="J483">
        <v>81.41</v>
      </c>
      <c r="K483">
        <v>20</v>
      </c>
      <c r="L483">
        <v>75206</v>
      </c>
      <c r="M483">
        <v>57344.95</v>
      </c>
      <c r="N483">
        <v>25.35</v>
      </c>
      <c r="O483">
        <v>6.4519999999999994E-2</v>
      </c>
      <c r="P483">
        <v>4.5720000000000001</v>
      </c>
      <c r="Q483">
        <v>129.76</v>
      </c>
      <c r="R483">
        <v>82.65</v>
      </c>
      <c r="S483">
        <v>232.85</v>
      </c>
    </row>
    <row r="484" spans="1:19" x14ac:dyDescent="0.3">
      <c r="A484" s="2">
        <v>44599</v>
      </c>
      <c r="B484">
        <v>109</v>
      </c>
      <c r="C484">
        <v>138.88999999999999</v>
      </c>
      <c r="D484">
        <v>153.16</v>
      </c>
      <c r="E484">
        <v>183.78</v>
      </c>
      <c r="F484">
        <v>169.78</v>
      </c>
      <c r="G484">
        <v>91.32</v>
      </c>
      <c r="H484">
        <v>92.69</v>
      </c>
      <c r="I484">
        <v>90.76</v>
      </c>
      <c r="J484">
        <v>82.39</v>
      </c>
      <c r="K484">
        <v>20.45</v>
      </c>
      <c r="L484">
        <v>75679.56</v>
      </c>
      <c r="M484">
        <v>57819.3</v>
      </c>
      <c r="N484">
        <v>25.1</v>
      </c>
      <c r="O484">
        <v>6.4409999999999995E-2</v>
      </c>
      <c r="P484">
        <v>4.2320000000000002</v>
      </c>
      <c r="Q484">
        <v>127.68</v>
      </c>
      <c r="R484">
        <v>79.594999999999999</v>
      </c>
      <c r="S484">
        <v>225.65</v>
      </c>
    </row>
    <row r="485" spans="1:19" x14ac:dyDescent="0.3">
      <c r="A485" s="2">
        <v>44600</v>
      </c>
      <c r="B485">
        <v>109</v>
      </c>
      <c r="C485">
        <v>138.88999999999999</v>
      </c>
      <c r="D485">
        <v>153.16</v>
      </c>
      <c r="E485">
        <v>183.78</v>
      </c>
      <c r="F485">
        <v>169.78</v>
      </c>
      <c r="G485">
        <v>89.36</v>
      </c>
      <c r="H485">
        <v>90.78</v>
      </c>
      <c r="I485">
        <v>89.28</v>
      </c>
      <c r="J485">
        <v>80.260000000000005</v>
      </c>
      <c r="K485">
        <v>21.6</v>
      </c>
      <c r="L485">
        <v>76090.52</v>
      </c>
      <c r="M485">
        <v>58859.87</v>
      </c>
      <c r="N485">
        <v>25.305</v>
      </c>
      <c r="O485">
        <v>6.5079999999999999E-2</v>
      </c>
      <c r="P485">
        <v>4.2480000000000002</v>
      </c>
      <c r="Q485">
        <v>127.59</v>
      </c>
      <c r="R485">
        <v>77.3</v>
      </c>
      <c r="S485">
        <v>222.85</v>
      </c>
    </row>
    <row r="486" spans="1:19" x14ac:dyDescent="0.3">
      <c r="A486" s="2">
        <v>44601</v>
      </c>
      <c r="B486">
        <v>109</v>
      </c>
      <c r="C486">
        <v>138.88999999999999</v>
      </c>
      <c r="D486">
        <v>153.16</v>
      </c>
      <c r="E486">
        <v>183.78</v>
      </c>
      <c r="F486">
        <v>169.78</v>
      </c>
      <c r="G486">
        <v>89.66</v>
      </c>
      <c r="H486">
        <v>91.55</v>
      </c>
      <c r="I486">
        <v>89.88</v>
      </c>
      <c r="J486">
        <v>79</v>
      </c>
      <c r="K486">
        <v>20.95</v>
      </c>
      <c r="L486">
        <v>76690.92</v>
      </c>
      <c r="M486">
        <v>59244.41</v>
      </c>
      <c r="N486">
        <v>24.715</v>
      </c>
      <c r="O486">
        <v>6.5710000000000005E-2</v>
      </c>
      <c r="P486">
        <v>4.0090000000000003</v>
      </c>
      <c r="Q486">
        <v>129.05000000000001</v>
      </c>
      <c r="R486">
        <v>74.415000000000006</v>
      </c>
      <c r="S486">
        <v>222.05</v>
      </c>
    </row>
    <row r="487" spans="1:19" x14ac:dyDescent="0.3">
      <c r="A487" s="2">
        <v>44602</v>
      </c>
      <c r="B487">
        <v>109</v>
      </c>
      <c r="C487">
        <v>138.88999999999999</v>
      </c>
      <c r="D487">
        <v>153.16</v>
      </c>
      <c r="E487">
        <v>183.78</v>
      </c>
      <c r="F487">
        <v>169.78</v>
      </c>
      <c r="G487">
        <v>89.88</v>
      </c>
      <c r="H487">
        <v>91.41</v>
      </c>
      <c r="I487">
        <v>89.92</v>
      </c>
      <c r="J487">
        <v>78.239999999999995</v>
      </c>
      <c r="K487">
        <v>21.8</v>
      </c>
      <c r="L487">
        <v>76585.19</v>
      </c>
      <c r="M487">
        <v>58967.77</v>
      </c>
      <c r="N487">
        <v>24.795000000000002</v>
      </c>
      <c r="O487">
        <v>6.5909999999999996E-2</v>
      </c>
      <c r="P487">
        <v>3.9590000000000001</v>
      </c>
      <c r="Q487">
        <v>126.72</v>
      </c>
      <c r="R487">
        <v>74.355000000000004</v>
      </c>
      <c r="S487">
        <v>225.3</v>
      </c>
    </row>
    <row r="488" spans="1:19" x14ac:dyDescent="0.3">
      <c r="A488" s="2">
        <v>44603</v>
      </c>
      <c r="B488">
        <v>124.66</v>
      </c>
      <c r="C488">
        <v>160.72</v>
      </c>
      <c r="D488">
        <v>180.32</v>
      </c>
      <c r="E488">
        <v>201.98</v>
      </c>
      <c r="F488">
        <v>180.38</v>
      </c>
      <c r="G488">
        <v>93.1</v>
      </c>
      <c r="H488">
        <v>94.44</v>
      </c>
      <c r="I488">
        <v>91.79</v>
      </c>
      <c r="J488">
        <v>80.209999999999994</v>
      </c>
      <c r="K488">
        <v>22.35</v>
      </c>
      <c r="L488">
        <v>76382.95</v>
      </c>
      <c r="M488">
        <v>59205.77</v>
      </c>
      <c r="N488">
        <v>24.57</v>
      </c>
      <c r="O488">
        <v>6.5659999999999996E-2</v>
      </c>
      <c r="P488">
        <v>3.9409999999999998</v>
      </c>
      <c r="Q488">
        <v>125.93</v>
      </c>
      <c r="R488">
        <v>77.424999999999997</v>
      </c>
      <c r="S488">
        <v>219.45</v>
      </c>
    </row>
    <row r="489" spans="1:19" x14ac:dyDescent="0.3">
      <c r="A489" s="2">
        <v>44606</v>
      </c>
      <c r="B489">
        <v>124.66</v>
      </c>
      <c r="C489">
        <v>160.72</v>
      </c>
      <c r="D489">
        <v>180.32</v>
      </c>
      <c r="E489">
        <v>201.98</v>
      </c>
      <c r="F489">
        <v>180.38</v>
      </c>
      <c r="G489">
        <v>95.46</v>
      </c>
      <c r="H489">
        <v>96.48</v>
      </c>
      <c r="I489">
        <v>92.61</v>
      </c>
      <c r="J489">
        <v>78.98</v>
      </c>
      <c r="K489">
        <v>21.8</v>
      </c>
      <c r="L489">
        <v>75765.16</v>
      </c>
      <c r="M489">
        <v>61904.42</v>
      </c>
      <c r="N489">
        <v>24.885000000000002</v>
      </c>
      <c r="O489">
        <v>6.608E-2</v>
      </c>
      <c r="P489">
        <v>4.1950000000000003</v>
      </c>
      <c r="Q489">
        <v>124.84</v>
      </c>
      <c r="R489">
        <v>80.77</v>
      </c>
      <c r="S489">
        <v>210.65</v>
      </c>
    </row>
    <row r="490" spans="1:19" x14ac:dyDescent="0.3">
      <c r="A490" s="2">
        <v>44607</v>
      </c>
      <c r="B490">
        <v>124.66</v>
      </c>
      <c r="C490">
        <v>160.72</v>
      </c>
      <c r="D490">
        <v>180.32</v>
      </c>
      <c r="E490">
        <v>201.98</v>
      </c>
      <c r="F490">
        <v>180.38</v>
      </c>
      <c r="G490">
        <v>92.07</v>
      </c>
      <c r="H490">
        <v>93.28</v>
      </c>
      <c r="I490">
        <v>90.86</v>
      </c>
      <c r="J490">
        <v>77.989999999999995</v>
      </c>
      <c r="K490">
        <v>21.65</v>
      </c>
      <c r="L490">
        <v>75853.16</v>
      </c>
      <c r="M490">
        <v>59562.53</v>
      </c>
      <c r="N490">
        <v>24.815000000000001</v>
      </c>
      <c r="O490">
        <v>6.6140000000000004E-2</v>
      </c>
      <c r="P490">
        <v>4.306</v>
      </c>
      <c r="Q490">
        <v>125.22</v>
      </c>
      <c r="R490">
        <v>70.92</v>
      </c>
      <c r="S490">
        <v>221</v>
      </c>
    </row>
    <row r="491" spans="1:19" x14ac:dyDescent="0.3">
      <c r="A491" s="2">
        <v>44608</v>
      </c>
      <c r="B491">
        <v>124.66</v>
      </c>
      <c r="C491">
        <v>160.72</v>
      </c>
      <c r="D491">
        <v>180.32</v>
      </c>
      <c r="E491">
        <v>201.98</v>
      </c>
      <c r="F491">
        <v>180.38</v>
      </c>
      <c r="G491">
        <v>93.66</v>
      </c>
      <c r="H491">
        <v>94.81</v>
      </c>
      <c r="I491">
        <v>91.56</v>
      </c>
      <c r="J491">
        <v>78.349999999999994</v>
      </c>
      <c r="K491">
        <v>22</v>
      </c>
      <c r="L491">
        <v>76502.59</v>
      </c>
      <c r="M491">
        <v>61346.67</v>
      </c>
      <c r="N491">
        <v>23.074999999999999</v>
      </c>
      <c r="O491">
        <v>6.6650000000000001E-2</v>
      </c>
      <c r="P491">
        <v>4.7169999999999996</v>
      </c>
      <c r="Q491">
        <v>125.72</v>
      </c>
      <c r="R491">
        <v>69.795000000000002</v>
      </c>
      <c r="S491">
        <v>219.35</v>
      </c>
    </row>
    <row r="492" spans="1:19" x14ac:dyDescent="0.3">
      <c r="A492" s="2">
        <v>44609</v>
      </c>
      <c r="B492">
        <v>124.66</v>
      </c>
      <c r="C492">
        <v>160.72</v>
      </c>
      <c r="D492">
        <v>180.32</v>
      </c>
      <c r="E492">
        <v>201.98</v>
      </c>
      <c r="F492">
        <v>180.38</v>
      </c>
      <c r="G492">
        <v>91.76</v>
      </c>
      <c r="H492">
        <v>92.97</v>
      </c>
      <c r="I492">
        <v>90.67</v>
      </c>
      <c r="J492">
        <v>78.23</v>
      </c>
      <c r="K492">
        <v>22.1</v>
      </c>
      <c r="L492">
        <v>76154.69</v>
      </c>
      <c r="M492">
        <v>62788.46</v>
      </c>
      <c r="N492">
        <v>24.51</v>
      </c>
      <c r="O492">
        <v>6.6650000000000001E-2</v>
      </c>
      <c r="P492">
        <v>4.4859999999999998</v>
      </c>
      <c r="Q492">
        <v>123.25</v>
      </c>
      <c r="R492">
        <v>74.915000000000006</v>
      </c>
      <c r="S492">
        <v>216.9</v>
      </c>
    </row>
    <row r="493" spans="1:19" x14ac:dyDescent="0.3">
      <c r="A493" s="2">
        <v>44610</v>
      </c>
      <c r="B493">
        <v>128.49</v>
      </c>
      <c r="C493">
        <v>162.33000000000001</v>
      </c>
      <c r="D493">
        <v>181.9</v>
      </c>
      <c r="E493">
        <v>211.52</v>
      </c>
      <c r="F493">
        <v>183.03</v>
      </c>
      <c r="G493">
        <v>91.07</v>
      </c>
      <c r="H493">
        <v>93.54</v>
      </c>
      <c r="I493">
        <v>90.9</v>
      </c>
      <c r="J493">
        <v>77.36</v>
      </c>
      <c r="K493">
        <v>22.45</v>
      </c>
      <c r="L493">
        <v>76368.34</v>
      </c>
      <c r="M493">
        <v>64049.19</v>
      </c>
      <c r="N493">
        <v>23.805</v>
      </c>
      <c r="O493">
        <v>6.6250000000000003E-2</v>
      </c>
      <c r="P493">
        <v>4.431</v>
      </c>
      <c r="Q493">
        <v>122.87</v>
      </c>
      <c r="R493">
        <v>73.760000000000005</v>
      </c>
      <c r="S493">
        <v>217.55</v>
      </c>
    </row>
    <row r="494" spans="1:19" x14ac:dyDescent="0.3">
      <c r="A494" s="2">
        <v>44613</v>
      </c>
      <c r="B494">
        <v>128.49</v>
      </c>
      <c r="C494">
        <v>162.33000000000001</v>
      </c>
      <c r="D494">
        <v>181.9</v>
      </c>
      <c r="E494">
        <v>211.52</v>
      </c>
      <c r="F494">
        <v>183.03</v>
      </c>
      <c r="G494">
        <v>92.65</v>
      </c>
      <c r="H494">
        <v>95.39</v>
      </c>
      <c r="I494">
        <v>74.752492970946577</v>
      </c>
      <c r="J494">
        <v>80.871012183692585</v>
      </c>
      <c r="K494">
        <v>22.5</v>
      </c>
      <c r="L494">
        <v>75528.460000000006</v>
      </c>
      <c r="M494">
        <v>63290.63</v>
      </c>
      <c r="N494">
        <v>17.62252908067542</v>
      </c>
      <c r="O494">
        <v>6.6059999999999994E-2</v>
      </c>
      <c r="P494">
        <v>4.7050000000000001</v>
      </c>
      <c r="Q494">
        <v>112.7561105904405</v>
      </c>
      <c r="R494">
        <v>71.72</v>
      </c>
      <c r="S494">
        <v>210.2</v>
      </c>
    </row>
    <row r="495" spans="1:19" x14ac:dyDescent="0.3">
      <c r="A495" s="2">
        <v>44614</v>
      </c>
      <c r="B495">
        <v>128.49</v>
      </c>
      <c r="C495">
        <v>162.33000000000001</v>
      </c>
      <c r="D495">
        <v>181.9</v>
      </c>
      <c r="E495">
        <v>211.52</v>
      </c>
      <c r="F495">
        <v>183.03</v>
      </c>
      <c r="G495">
        <v>92.35</v>
      </c>
      <c r="H495">
        <v>96.84</v>
      </c>
      <c r="I495">
        <v>91.84</v>
      </c>
      <c r="J495">
        <v>76.459999999999994</v>
      </c>
      <c r="K495">
        <v>22.45</v>
      </c>
      <c r="L495">
        <v>75653.84</v>
      </c>
      <c r="M495">
        <v>65246.400000000001</v>
      </c>
      <c r="N495">
        <v>25.96</v>
      </c>
      <c r="O495">
        <v>6.6350000000000006E-2</v>
      </c>
      <c r="P495">
        <v>4.4980000000000002</v>
      </c>
      <c r="Q495">
        <v>123.12</v>
      </c>
      <c r="R495">
        <v>79.790000000000006</v>
      </c>
      <c r="S495">
        <v>205.25</v>
      </c>
    </row>
    <row r="496" spans="1:19" x14ac:dyDescent="0.3">
      <c r="A496" s="2">
        <v>44615</v>
      </c>
      <c r="B496">
        <v>128.49</v>
      </c>
      <c r="C496">
        <v>162.33000000000001</v>
      </c>
      <c r="D496">
        <v>181.9</v>
      </c>
      <c r="E496">
        <v>211.52</v>
      </c>
      <c r="F496">
        <v>183.03</v>
      </c>
      <c r="G496">
        <v>92.1</v>
      </c>
      <c r="H496">
        <v>96.84</v>
      </c>
      <c r="I496">
        <v>91.7</v>
      </c>
      <c r="J496">
        <v>76.77</v>
      </c>
      <c r="K496">
        <v>21.85</v>
      </c>
      <c r="L496">
        <v>74987.05</v>
      </c>
      <c r="M496">
        <v>64546.9</v>
      </c>
      <c r="N496">
        <v>28.965</v>
      </c>
      <c r="O496">
        <v>6.6129999999999994E-2</v>
      </c>
      <c r="P496">
        <v>4.6230000000000002</v>
      </c>
      <c r="Q496">
        <v>123.69</v>
      </c>
      <c r="R496">
        <v>88.89</v>
      </c>
      <c r="S496">
        <v>208.8</v>
      </c>
    </row>
    <row r="497" spans="1:19" x14ac:dyDescent="0.3">
      <c r="A497" s="2">
        <v>44616</v>
      </c>
      <c r="B497">
        <v>128.49</v>
      </c>
      <c r="C497">
        <v>162.33000000000001</v>
      </c>
      <c r="D497">
        <v>181.9</v>
      </c>
      <c r="E497">
        <v>211.52</v>
      </c>
      <c r="F497">
        <v>183.03</v>
      </c>
      <c r="G497">
        <v>92.81</v>
      </c>
      <c r="H497">
        <v>99.08</v>
      </c>
      <c r="I497">
        <v>92.07</v>
      </c>
      <c r="J497">
        <v>75.8</v>
      </c>
      <c r="K497">
        <v>21.65</v>
      </c>
      <c r="L497">
        <v>73697.11</v>
      </c>
      <c r="M497">
        <v>69934.63</v>
      </c>
      <c r="N497">
        <v>37.01</v>
      </c>
      <c r="O497">
        <v>6.5060000000000007E-2</v>
      </c>
      <c r="P497">
        <v>4.5679999999999996</v>
      </c>
      <c r="Q497">
        <v>127.92</v>
      </c>
      <c r="R497">
        <v>134.315</v>
      </c>
      <c r="S497">
        <v>193.45</v>
      </c>
    </row>
    <row r="498" spans="1:19" x14ac:dyDescent="0.3">
      <c r="A498" s="2">
        <v>44617</v>
      </c>
      <c r="B498">
        <v>151.27000000000001</v>
      </c>
      <c r="C498">
        <v>189</v>
      </c>
      <c r="D498">
        <v>216.37</v>
      </c>
      <c r="E498">
        <v>228.31</v>
      </c>
      <c r="F498">
        <v>203.78</v>
      </c>
      <c r="G498">
        <v>91.59</v>
      </c>
      <c r="H498">
        <v>97.93</v>
      </c>
      <c r="I498">
        <v>91.93</v>
      </c>
      <c r="J498">
        <v>77.84</v>
      </c>
      <c r="K498">
        <v>20.6</v>
      </c>
      <c r="L498">
        <v>74205.69</v>
      </c>
      <c r="M498">
        <v>66682.94</v>
      </c>
      <c r="N498">
        <v>27.51</v>
      </c>
      <c r="O498">
        <v>6.5989999999999993E-2</v>
      </c>
      <c r="P498">
        <v>4.47</v>
      </c>
      <c r="Q498">
        <v>128.47</v>
      </c>
      <c r="R498">
        <v>94.421999999999997</v>
      </c>
      <c r="S498">
        <v>204.2</v>
      </c>
    </row>
    <row r="499" spans="1:19" x14ac:dyDescent="0.3">
      <c r="A499" s="2">
        <v>44620</v>
      </c>
      <c r="B499">
        <v>151.27000000000001</v>
      </c>
      <c r="C499">
        <v>189</v>
      </c>
      <c r="D499">
        <v>216.37</v>
      </c>
      <c r="E499">
        <v>228.31</v>
      </c>
      <c r="F499">
        <v>203.78</v>
      </c>
      <c r="G499">
        <v>95.72</v>
      </c>
      <c r="H499">
        <v>100.99</v>
      </c>
      <c r="I499">
        <v>92.34</v>
      </c>
      <c r="J499">
        <v>78.42</v>
      </c>
      <c r="K499">
        <v>21.5</v>
      </c>
      <c r="L499">
        <v>76090.509999999995</v>
      </c>
      <c r="M499">
        <v>73018.789999999994</v>
      </c>
      <c r="N499">
        <v>27.95</v>
      </c>
      <c r="O499">
        <v>6.5030000000000004E-2</v>
      </c>
      <c r="P499">
        <v>4.4020000000000001</v>
      </c>
      <c r="Q499">
        <v>128.12</v>
      </c>
      <c r="R499">
        <v>98.594999999999999</v>
      </c>
      <c r="S499">
        <v>205.85</v>
      </c>
    </row>
    <row r="500" spans="1:19" x14ac:dyDescent="0.3">
      <c r="A500" s="2">
        <v>44621</v>
      </c>
      <c r="B500">
        <v>151.27000000000001</v>
      </c>
      <c r="C500">
        <v>189</v>
      </c>
      <c r="D500">
        <v>216.37</v>
      </c>
      <c r="E500">
        <v>228.31</v>
      </c>
      <c r="F500">
        <v>203.78</v>
      </c>
      <c r="G500">
        <v>103.41</v>
      </c>
      <c r="H500">
        <v>104.97</v>
      </c>
      <c r="I500">
        <v>102</v>
      </c>
      <c r="J500">
        <v>79.17</v>
      </c>
      <c r="K500">
        <v>21.8</v>
      </c>
      <c r="L500">
        <v>77110.69</v>
      </c>
      <c r="M500">
        <v>75185.759999999995</v>
      </c>
      <c r="N500">
        <v>31.5</v>
      </c>
      <c r="O500">
        <v>6.479E-2</v>
      </c>
      <c r="P500">
        <v>4.5730000000000004</v>
      </c>
      <c r="Q500">
        <v>127.75</v>
      </c>
      <c r="R500">
        <v>121.675</v>
      </c>
      <c r="S500">
        <v>141.61602674307539</v>
      </c>
    </row>
    <row r="501" spans="1:19" x14ac:dyDescent="0.3">
      <c r="A501" s="2">
        <v>44622</v>
      </c>
      <c r="B501">
        <v>151.27000000000001</v>
      </c>
      <c r="C501">
        <v>189</v>
      </c>
      <c r="D501">
        <v>216.37</v>
      </c>
      <c r="E501">
        <v>228.31</v>
      </c>
      <c r="F501">
        <v>203.78</v>
      </c>
      <c r="G501">
        <v>110.6</v>
      </c>
      <c r="H501">
        <v>112.93</v>
      </c>
      <c r="I501">
        <v>109.4</v>
      </c>
      <c r="J501">
        <v>80.53</v>
      </c>
      <c r="K501">
        <v>21.8</v>
      </c>
      <c r="L501">
        <v>77536.12</v>
      </c>
      <c r="M501">
        <v>75128.44</v>
      </c>
      <c r="N501">
        <v>38.505000000000003</v>
      </c>
      <c r="O501">
        <v>6.5269999999999995E-2</v>
      </c>
      <c r="P501">
        <v>4.7619999999999996</v>
      </c>
      <c r="Q501">
        <v>129.94999999999999</v>
      </c>
      <c r="R501">
        <v>165.54499999999999</v>
      </c>
      <c r="S501">
        <v>214.05</v>
      </c>
    </row>
    <row r="502" spans="1:19" x14ac:dyDescent="0.3">
      <c r="A502" s="2">
        <v>44623</v>
      </c>
      <c r="B502">
        <v>151.27000000000001</v>
      </c>
      <c r="C502">
        <v>189</v>
      </c>
      <c r="D502">
        <v>216.37</v>
      </c>
      <c r="E502">
        <v>228.31</v>
      </c>
      <c r="F502">
        <v>203.78</v>
      </c>
      <c r="G502">
        <v>107.67</v>
      </c>
      <c r="H502">
        <v>110.46</v>
      </c>
      <c r="I502">
        <v>106.58</v>
      </c>
      <c r="J502">
        <v>81.040000000000006</v>
      </c>
      <c r="K502">
        <v>22.75</v>
      </c>
      <c r="L502">
        <v>77390.850000000006</v>
      </c>
      <c r="M502">
        <v>72933.89</v>
      </c>
      <c r="N502">
        <v>43.6</v>
      </c>
      <c r="O502">
        <v>6.5740000000000007E-2</v>
      </c>
      <c r="P502">
        <v>4.7220000000000004</v>
      </c>
      <c r="Q502">
        <v>131.4</v>
      </c>
      <c r="R502">
        <v>160.82499999999999</v>
      </c>
      <c r="S502">
        <v>213.75</v>
      </c>
    </row>
    <row r="503" spans="1:19" x14ac:dyDescent="0.3">
      <c r="A503" s="2">
        <v>44624</v>
      </c>
      <c r="B503">
        <v>251.7</v>
      </c>
      <c r="C503">
        <v>306.76</v>
      </c>
      <c r="D503">
        <v>346.85</v>
      </c>
      <c r="E503">
        <v>359.9</v>
      </c>
      <c r="F503">
        <v>271.7</v>
      </c>
      <c r="G503">
        <v>115.68</v>
      </c>
      <c r="H503">
        <v>118.11</v>
      </c>
      <c r="I503">
        <v>114.95</v>
      </c>
      <c r="J503">
        <v>84.09</v>
      </c>
      <c r="K503">
        <v>22.75</v>
      </c>
      <c r="L503">
        <v>74734.37</v>
      </c>
      <c r="M503">
        <v>74495.789999999994</v>
      </c>
      <c r="N503">
        <v>38.65</v>
      </c>
      <c r="O503">
        <v>6.4920000000000005E-2</v>
      </c>
      <c r="P503">
        <v>5.016</v>
      </c>
      <c r="Q503">
        <v>135.69999999999999</v>
      </c>
      <c r="R503">
        <v>192.55</v>
      </c>
      <c r="S503">
        <v>211.1</v>
      </c>
    </row>
    <row r="504" spans="1:19" x14ac:dyDescent="0.3">
      <c r="A504" s="2">
        <v>44627</v>
      </c>
      <c r="B504">
        <v>251.7</v>
      </c>
      <c r="C504">
        <v>306.76</v>
      </c>
      <c r="D504">
        <v>346.85</v>
      </c>
      <c r="E504">
        <v>359.9</v>
      </c>
      <c r="F504">
        <v>271.7</v>
      </c>
      <c r="G504">
        <v>119.4</v>
      </c>
      <c r="H504">
        <v>123.21</v>
      </c>
      <c r="I504">
        <v>118.18</v>
      </c>
      <c r="J504">
        <v>87.12</v>
      </c>
      <c r="K504">
        <v>22.3</v>
      </c>
      <c r="L504">
        <v>73295.88</v>
      </c>
      <c r="M504">
        <v>74773.64</v>
      </c>
      <c r="N504">
        <v>51.765000000000001</v>
      </c>
      <c r="O504">
        <v>6.5110000000000001E-2</v>
      </c>
      <c r="P504">
        <v>4.8330000000000002</v>
      </c>
      <c r="Q504">
        <v>132.38999999999999</v>
      </c>
      <c r="R504">
        <v>227.2</v>
      </c>
      <c r="S504">
        <v>207.9</v>
      </c>
    </row>
    <row r="505" spans="1:19" x14ac:dyDescent="0.3">
      <c r="A505" s="2">
        <v>44628</v>
      </c>
      <c r="B505">
        <v>251.7</v>
      </c>
      <c r="C505">
        <v>306.76</v>
      </c>
      <c r="D505">
        <v>346.85</v>
      </c>
      <c r="E505">
        <v>359.9</v>
      </c>
      <c r="F505">
        <v>271.7</v>
      </c>
      <c r="G505">
        <v>123.7</v>
      </c>
      <c r="H505">
        <v>127.98</v>
      </c>
      <c r="I505">
        <v>122.53</v>
      </c>
      <c r="J505">
        <v>87.78</v>
      </c>
      <c r="K505">
        <v>21.7</v>
      </c>
      <c r="L505">
        <v>72398.62</v>
      </c>
      <c r="M505">
        <v>74666.11</v>
      </c>
      <c r="N505">
        <v>42.62</v>
      </c>
      <c r="O505">
        <v>6.5320000000000003E-2</v>
      </c>
      <c r="P505">
        <v>4.5270000000000001</v>
      </c>
      <c r="Q505">
        <v>124.67</v>
      </c>
      <c r="R505">
        <v>214.55500000000001</v>
      </c>
      <c r="S505">
        <v>214.2</v>
      </c>
    </row>
    <row r="506" spans="1:19" x14ac:dyDescent="0.3">
      <c r="A506" s="2">
        <v>44629</v>
      </c>
      <c r="B506">
        <v>251.7</v>
      </c>
      <c r="C506">
        <v>306.76</v>
      </c>
      <c r="D506">
        <v>346.85</v>
      </c>
      <c r="E506">
        <v>359.9</v>
      </c>
      <c r="F506">
        <v>271.7</v>
      </c>
      <c r="G506">
        <v>108.7</v>
      </c>
      <c r="H506">
        <v>111.14</v>
      </c>
      <c r="I506">
        <v>110.86</v>
      </c>
      <c r="J506">
        <v>82.79</v>
      </c>
      <c r="K506">
        <v>21.75</v>
      </c>
      <c r="L506">
        <v>72684.820000000007</v>
      </c>
      <c r="M506">
        <v>70880.460000000006</v>
      </c>
      <c r="N506">
        <v>38.965000000000003</v>
      </c>
      <c r="O506">
        <v>6.6629999999999995E-2</v>
      </c>
      <c r="P506">
        <v>4.5259999999999998</v>
      </c>
      <c r="Q506">
        <v>128.78</v>
      </c>
      <c r="R506">
        <v>155.88</v>
      </c>
      <c r="S506">
        <v>222.8</v>
      </c>
    </row>
    <row r="507" spans="1:19" x14ac:dyDescent="0.3">
      <c r="A507" s="2">
        <v>44630</v>
      </c>
      <c r="B507">
        <v>251.7</v>
      </c>
      <c r="C507">
        <v>306.76</v>
      </c>
      <c r="D507">
        <v>346.85</v>
      </c>
      <c r="E507">
        <v>359.9</v>
      </c>
      <c r="F507">
        <v>271.7</v>
      </c>
      <c r="G507">
        <v>106.02</v>
      </c>
      <c r="H507">
        <v>109.33</v>
      </c>
      <c r="I507">
        <v>110.2</v>
      </c>
      <c r="J507">
        <v>85.36</v>
      </c>
      <c r="K507">
        <v>21.5</v>
      </c>
      <c r="L507">
        <v>73889.41</v>
      </c>
      <c r="M507">
        <v>73244.34</v>
      </c>
      <c r="N507">
        <v>38.325000000000003</v>
      </c>
      <c r="O507">
        <v>6.6449999999999995E-2</v>
      </c>
      <c r="P507">
        <v>4.6310000000000002</v>
      </c>
      <c r="Q507">
        <v>129.56</v>
      </c>
      <c r="R507">
        <v>126.4</v>
      </c>
      <c r="S507">
        <v>224.55</v>
      </c>
    </row>
    <row r="508" spans="1:19" x14ac:dyDescent="0.3">
      <c r="A508" s="2">
        <v>44631</v>
      </c>
      <c r="B508">
        <v>301.08999999999997</v>
      </c>
      <c r="C508">
        <v>360.24</v>
      </c>
      <c r="D508">
        <v>412.35</v>
      </c>
      <c r="E508">
        <v>428.22</v>
      </c>
      <c r="F508">
        <v>312.89</v>
      </c>
      <c r="G508">
        <v>109.33</v>
      </c>
      <c r="H508">
        <v>112.67</v>
      </c>
      <c r="I508">
        <v>112.59</v>
      </c>
      <c r="J508">
        <v>84.92</v>
      </c>
      <c r="K508">
        <v>21.3</v>
      </c>
      <c r="L508">
        <v>73685.89</v>
      </c>
      <c r="M508">
        <v>70700.850000000006</v>
      </c>
      <c r="N508">
        <v>37.145000000000003</v>
      </c>
      <c r="O508">
        <v>6.6320000000000004E-2</v>
      </c>
      <c r="P508">
        <v>4.7249999999999996</v>
      </c>
      <c r="Q508">
        <v>126.36</v>
      </c>
      <c r="R508">
        <v>131.22999999999999</v>
      </c>
      <c r="S508">
        <v>225.15</v>
      </c>
    </row>
    <row r="509" spans="1:19" x14ac:dyDescent="0.3">
      <c r="A509" s="2">
        <v>44634</v>
      </c>
      <c r="B509">
        <v>301.08999999999997</v>
      </c>
      <c r="C509">
        <v>360.24</v>
      </c>
      <c r="D509">
        <v>412.35</v>
      </c>
      <c r="E509">
        <v>428.22</v>
      </c>
      <c r="F509">
        <v>312.89</v>
      </c>
      <c r="G509">
        <v>103.01</v>
      </c>
      <c r="H509">
        <v>106.9</v>
      </c>
      <c r="I509">
        <v>109.18</v>
      </c>
      <c r="J509">
        <v>81.88</v>
      </c>
      <c r="K509">
        <v>20.100000000000001</v>
      </c>
      <c r="L509">
        <v>71903.72</v>
      </c>
      <c r="M509">
        <v>67668.02</v>
      </c>
      <c r="N509">
        <v>37.25</v>
      </c>
      <c r="O509">
        <v>6.6030000000000005E-2</v>
      </c>
      <c r="P509">
        <v>4.6580000000000004</v>
      </c>
      <c r="Q509">
        <v>126.22</v>
      </c>
      <c r="R509">
        <v>114.52</v>
      </c>
      <c r="S509">
        <v>219.5</v>
      </c>
    </row>
    <row r="510" spans="1:19" x14ac:dyDescent="0.3">
      <c r="A510" s="2">
        <v>44635</v>
      </c>
      <c r="B510">
        <v>301.08999999999997</v>
      </c>
      <c r="C510">
        <v>360.24</v>
      </c>
      <c r="D510">
        <v>412.35</v>
      </c>
      <c r="E510">
        <v>428.22</v>
      </c>
      <c r="F510">
        <v>312.89</v>
      </c>
      <c r="G510">
        <v>96.44</v>
      </c>
      <c r="H510">
        <v>99.91</v>
      </c>
      <c r="I510">
        <v>105.76</v>
      </c>
      <c r="J510">
        <v>77.22</v>
      </c>
      <c r="K510">
        <v>18.54</v>
      </c>
      <c r="L510">
        <v>70628.2</v>
      </c>
      <c r="M510">
        <v>67451.100000000006</v>
      </c>
      <c r="N510">
        <v>37.445</v>
      </c>
      <c r="O510">
        <v>6.6140000000000004E-2</v>
      </c>
      <c r="P510">
        <v>4.5679999999999996</v>
      </c>
      <c r="Q510">
        <v>130.26</v>
      </c>
      <c r="R510">
        <v>115.44</v>
      </c>
      <c r="S510">
        <v>218.6</v>
      </c>
    </row>
    <row r="511" spans="1:19" x14ac:dyDescent="0.3">
      <c r="A511" s="2">
        <v>44636</v>
      </c>
      <c r="B511">
        <v>301.08999999999997</v>
      </c>
      <c r="C511">
        <v>360.24</v>
      </c>
      <c r="D511">
        <v>412.35</v>
      </c>
      <c r="E511">
        <v>428.22</v>
      </c>
      <c r="F511">
        <v>312.89</v>
      </c>
      <c r="G511">
        <v>95.04</v>
      </c>
      <c r="H511">
        <v>98.02</v>
      </c>
      <c r="I511">
        <v>104.89</v>
      </c>
      <c r="J511">
        <v>76.930000000000007</v>
      </c>
      <c r="K511">
        <v>19.600000000000001</v>
      </c>
      <c r="L511">
        <v>73484.3</v>
      </c>
      <c r="M511">
        <v>67377.8</v>
      </c>
      <c r="N511">
        <v>33.634999999999998</v>
      </c>
      <c r="O511">
        <v>6.6989999999999994E-2</v>
      </c>
      <c r="P511">
        <v>4.7480000000000002</v>
      </c>
      <c r="Q511">
        <v>131.62</v>
      </c>
      <c r="R511">
        <v>102.625</v>
      </c>
      <c r="S511">
        <v>222.75</v>
      </c>
    </row>
    <row r="512" spans="1:19" x14ac:dyDescent="0.3">
      <c r="A512" s="2">
        <v>44637</v>
      </c>
      <c r="B512">
        <v>301.08999999999997</v>
      </c>
      <c r="C512">
        <v>360.24</v>
      </c>
      <c r="D512">
        <v>412.35</v>
      </c>
      <c r="E512">
        <v>428.22</v>
      </c>
      <c r="F512">
        <v>312.89</v>
      </c>
      <c r="G512">
        <v>102.98</v>
      </c>
      <c r="H512">
        <v>106.64</v>
      </c>
      <c r="I512">
        <v>108.78</v>
      </c>
      <c r="J512">
        <v>78.98</v>
      </c>
      <c r="K512">
        <v>20.6</v>
      </c>
      <c r="L512">
        <v>74124.27</v>
      </c>
      <c r="M512">
        <v>70113</v>
      </c>
      <c r="N512">
        <v>35.555</v>
      </c>
      <c r="O512">
        <v>6.7070000000000005E-2</v>
      </c>
      <c r="P512">
        <v>4.99</v>
      </c>
      <c r="Q512">
        <v>133.6</v>
      </c>
      <c r="R512">
        <v>105.09</v>
      </c>
      <c r="S512">
        <v>223.15</v>
      </c>
    </row>
    <row r="513" spans="1:19" x14ac:dyDescent="0.3">
      <c r="A513" s="2">
        <v>44638</v>
      </c>
      <c r="B513">
        <v>183.2</v>
      </c>
      <c r="C513">
        <v>226.55</v>
      </c>
      <c r="D513">
        <v>260.51</v>
      </c>
      <c r="E513">
        <v>294.8</v>
      </c>
      <c r="F513">
        <v>254.6</v>
      </c>
      <c r="G513">
        <v>104.7</v>
      </c>
      <c r="H513">
        <v>107.93</v>
      </c>
      <c r="I513">
        <v>108.99</v>
      </c>
      <c r="J513">
        <v>78.67</v>
      </c>
      <c r="K513">
        <v>20.75</v>
      </c>
      <c r="L513">
        <v>74847.63</v>
      </c>
      <c r="M513">
        <v>69244.78</v>
      </c>
      <c r="N513">
        <v>35.494999999999997</v>
      </c>
      <c r="O513">
        <v>6.676E-2</v>
      </c>
      <c r="P513">
        <v>4.8630000000000004</v>
      </c>
      <c r="Q513">
        <v>136.9</v>
      </c>
      <c r="R513">
        <v>105.045</v>
      </c>
      <c r="S513">
        <v>141.61602674307539</v>
      </c>
    </row>
    <row r="514" spans="1:19" x14ac:dyDescent="0.3">
      <c r="A514" s="2">
        <v>44641</v>
      </c>
      <c r="B514">
        <v>183.2</v>
      </c>
      <c r="C514">
        <v>226.55</v>
      </c>
      <c r="D514">
        <v>260.51</v>
      </c>
      <c r="E514">
        <v>294.8</v>
      </c>
      <c r="F514">
        <v>254.6</v>
      </c>
      <c r="G514">
        <v>112.12</v>
      </c>
      <c r="H514">
        <v>115.62</v>
      </c>
      <c r="I514">
        <v>111.73</v>
      </c>
      <c r="J514">
        <v>82.2</v>
      </c>
      <c r="K514">
        <v>20.85</v>
      </c>
      <c r="L514">
        <v>68736.904810964072</v>
      </c>
      <c r="M514">
        <v>52972.178374291107</v>
      </c>
      <c r="N514">
        <v>34.81</v>
      </c>
      <c r="O514">
        <v>6.7030000000000006E-2</v>
      </c>
      <c r="P514">
        <v>4.9000000000000004</v>
      </c>
      <c r="Q514">
        <v>135.97</v>
      </c>
      <c r="R514">
        <v>96.302000000000007</v>
      </c>
      <c r="S514">
        <v>220.95</v>
      </c>
    </row>
    <row r="515" spans="1:19" x14ac:dyDescent="0.3">
      <c r="A515" s="2">
        <v>44642</v>
      </c>
      <c r="B515">
        <v>183.2</v>
      </c>
      <c r="C515">
        <v>226.55</v>
      </c>
      <c r="D515">
        <v>260.51</v>
      </c>
      <c r="E515">
        <v>294.8</v>
      </c>
      <c r="F515">
        <v>254.6</v>
      </c>
      <c r="G515">
        <v>111.76</v>
      </c>
      <c r="H515">
        <v>115.48</v>
      </c>
      <c r="I515">
        <v>111.43</v>
      </c>
      <c r="J515">
        <v>81.84</v>
      </c>
      <c r="K515">
        <v>21.95</v>
      </c>
      <c r="L515">
        <v>75751.41</v>
      </c>
      <c r="M515">
        <v>68083.78</v>
      </c>
      <c r="N515">
        <v>34.174999999999997</v>
      </c>
      <c r="O515">
        <v>6.744E-2</v>
      </c>
      <c r="P515">
        <v>5.1870000000000003</v>
      </c>
      <c r="Q515">
        <v>136.4</v>
      </c>
      <c r="R515">
        <v>98.745000000000005</v>
      </c>
      <c r="S515">
        <v>221.95</v>
      </c>
    </row>
    <row r="516" spans="1:19" x14ac:dyDescent="0.3">
      <c r="A516" s="2">
        <v>44643</v>
      </c>
      <c r="B516">
        <v>183.2</v>
      </c>
      <c r="C516">
        <v>226.55</v>
      </c>
      <c r="D516">
        <v>260.51</v>
      </c>
      <c r="E516">
        <v>294.8</v>
      </c>
      <c r="F516">
        <v>254.6</v>
      </c>
      <c r="G516">
        <v>114.93</v>
      </c>
      <c r="H516">
        <v>121.6</v>
      </c>
      <c r="I516">
        <v>112.59</v>
      </c>
      <c r="J516">
        <v>83.13</v>
      </c>
      <c r="K516">
        <v>21.75</v>
      </c>
      <c r="L516">
        <v>74838.09</v>
      </c>
      <c r="M516">
        <v>69427.759999999995</v>
      </c>
      <c r="N516">
        <v>34.119999999999997</v>
      </c>
      <c r="O516">
        <v>6.7710000000000006E-2</v>
      </c>
      <c r="P516">
        <v>5.2320000000000002</v>
      </c>
      <c r="Q516">
        <v>134.9</v>
      </c>
      <c r="R516">
        <v>117</v>
      </c>
      <c r="S516">
        <v>228.8</v>
      </c>
    </row>
    <row r="517" spans="1:19" x14ac:dyDescent="0.3">
      <c r="A517" s="2">
        <v>44644</v>
      </c>
      <c r="B517">
        <v>183.2</v>
      </c>
      <c r="C517">
        <v>226.55</v>
      </c>
      <c r="D517">
        <v>260.51</v>
      </c>
      <c r="E517">
        <v>294.8</v>
      </c>
      <c r="F517">
        <v>254.6</v>
      </c>
      <c r="G517">
        <v>112.34</v>
      </c>
      <c r="H517">
        <v>119.03</v>
      </c>
      <c r="I517">
        <v>111.82</v>
      </c>
      <c r="J517">
        <v>83.38</v>
      </c>
      <c r="K517">
        <v>22.6</v>
      </c>
      <c r="L517">
        <v>74349.94</v>
      </c>
      <c r="M517">
        <v>69882.23</v>
      </c>
      <c r="N517">
        <v>34.68</v>
      </c>
      <c r="O517">
        <v>6.88E-2</v>
      </c>
      <c r="P517">
        <v>5.4009999999999998</v>
      </c>
      <c r="Q517">
        <v>135.09</v>
      </c>
      <c r="R517">
        <v>111.61</v>
      </c>
      <c r="S517">
        <v>233.7</v>
      </c>
    </row>
    <row r="518" spans="1:19" x14ac:dyDescent="0.3">
      <c r="A518" s="2">
        <v>44645</v>
      </c>
      <c r="B518">
        <v>181.59</v>
      </c>
      <c r="C518">
        <v>221.54</v>
      </c>
      <c r="D518">
        <v>262.70999999999998</v>
      </c>
      <c r="E518">
        <v>263.13</v>
      </c>
      <c r="F518">
        <v>233.97</v>
      </c>
      <c r="G518">
        <v>113.9</v>
      </c>
      <c r="H518">
        <v>120.65</v>
      </c>
      <c r="I518">
        <v>112.1</v>
      </c>
      <c r="J518">
        <v>85.2</v>
      </c>
      <c r="K518">
        <v>22.3</v>
      </c>
      <c r="L518">
        <v>74324.67</v>
      </c>
      <c r="M518">
        <v>66316.47</v>
      </c>
      <c r="N518">
        <v>34.43</v>
      </c>
      <c r="O518">
        <v>6.8680000000000005E-2</v>
      </c>
      <c r="P518">
        <v>5.5709999999999997</v>
      </c>
      <c r="Q518">
        <v>135.26</v>
      </c>
      <c r="R518">
        <v>101.27</v>
      </c>
      <c r="S518">
        <v>228.9</v>
      </c>
    </row>
    <row r="519" spans="1:19" x14ac:dyDescent="0.3">
      <c r="A519" s="2">
        <v>44648</v>
      </c>
      <c r="B519">
        <v>181.59</v>
      </c>
      <c r="C519">
        <v>221.54</v>
      </c>
      <c r="D519">
        <v>262.70999999999998</v>
      </c>
      <c r="E519">
        <v>263.13</v>
      </c>
      <c r="F519">
        <v>233.97</v>
      </c>
      <c r="G519">
        <v>105.96</v>
      </c>
      <c r="H519">
        <v>112.48</v>
      </c>
      <c r="I519">
        <v>110.84</v>
      </c>
      <c r="J519">
        <v>82.81</v>
      </c>
      <c r="K519">
        <v>24.4</v>
      </c>
      <c r="L519">
        <v>74194.350000000006</v>
      </c>
      <c r="M519">
        <v>63721.74</v>
      </c>
      <c r="N519">
        <v>33.97</v>
      </c>
      <c r="O519">
        <v>6.7820000000000005E-2</v>
      </c>
      <c r="P519">
        <v>5.508</v>
      </c>
      <c r="Q519">
        <v>135.18</v>
      </c>
      <c r="R519">
        <v>102.545</v>
      </c>
      <c r="S519">
        <v>230.4</v>
      </c>
    </row>
    <row r="520" spans="1:19" x14ac:dyDescent="0.3">
      <c r="A520" s="2">
        <v>44649</v>
      </c>
      <c r="B520">
        <v>181.59</v>
      </c>
      <c r="C520">
        <v>221.54</v>
      </c>
      <c r="D520">
        <v>262.70999999999998</v>
      </c>
      <c r="E520">
        <v>263.13</v>
      </c>
      <c r="F520">
        <v>233.97</v>
      </c>
      <c r="G520">
        <v>104.24</v>
      </c>
      <c r="H520">
        <v>110.23</v>
      </c>
      <c r="I520">
        <v>110.55</v>
      </c>
      <c r="J520">
        <v>82.37</v>
      </c>
      <c r="K520">
        <v>25.55</v>
      </c>
      <c r="L520">
        <v>74776.39</v>
      </c>
      <c r="M520">
        <v>62619.12</v>
      </c>
      <c r="N520">
        <v>33.875</v>
      </c>
      <c r="O520">
        <v>6.8720000000000003E-2</v>
      </c>
      <c r="P520">
        <v>5.3360000000000003</v>
      </c>
      <c r="Q520">
        <v>132.65</v>
      </c>
      <c r="R520">
        <v>108.38</v>
      </c>
      <c r="S520">
        <v>225.35</v>
      </c>
    </row>
    <row r="521" spans="1:19" x14ac:dyDescent="0.3">
      <c r="A521" s="2">
        <v>44650</v>
      </c>
      <c r="B521">
        <v>181.59</v>
      </c>
      <c r="C521">
        <v>221.54</v>
      </c>
      <c r="D521">
        <v>262.70999999999998</v>
      </c>
      <c r="E521">
        <v>263.13</v>
      </c>
      <c r="F521">
        <v>233.97</v>
      </c>
      <c r="G521">
        <v>107.82</v>
      </c>
      <c r="H521">
        <v>113.45</v>
      </c>
      <c r="I521">
        <v>110.89</v>
      </c>
      <c r="J521">
        <v>83.78</v>
      </c>
      <c r="K521">
        <v>24.75</v>
      </c>
      <c r="L521">
        <v>75425.31</v>
      </c>
      <c r="M521">
        <v>65756.27</v>
      </c>
      <c r="N521">
        <v>34.15</v>
      </c>
      <c r="O521">
        <v>6.9089999999999999E-2</v>
      </c>
      <c r="P521">
        <v>5.6050000000000004</v>
      </c>
      <c r="Q521">
        <v>134.35</v>
      </c>
      <c r="R521">
        <v>118.97</v>
      </c>
      <c r="S521">
        <v>224.6</v>
      </c>
    </row>
    <row r="522" spans="1:19" x14ac:dyDescent="0.3">
      <c r="A522" s="2">
        <v>44651</v>
      </c>
      <c r="B522">
        <v>181.59</v>
      </c>
      <c r="C522">
        <v>221.54</v>
      </c>
      <c r="D522">
        <v>262.70999999999998</v>
      </c>
      <c r="E522">
        <v>263.13</v>
      </c>
      <c r="F522">
        <v>233.97</v>
      </c>
      <c r="G522">
        <v>100.28</v>
      </c>
      <c r="H522">
        <v>107.91</v>
      </c>
      <c r="I522">
        <v>110.89</v>
      </c>
      <c r="J522">
        <v>82.59</v>
      </c>
      <c r="K522">
        <v>25.1</v>
      </c>
      <c r="L522">
        <v>75497.149999999994</v>
      </c>
      <c r="M522">
        <v>65365.61</v>
      </c>
      <c r="N522">
        <v>35.435000000000002</v>
      </c>
      <c r="O522">
        <v>6.8379999999999996E-2</v>
      </c>
      <c r="P522">
        <v>5.6420000000000003</v>
      </c>
      <c r="Q522">
        <v>132.12</v>
      </c>
      <c r="R522">
        <v>125.905</v>
      </c>
      <c r="S522">
        <v>224.7</v>
      </c>
    </row>
    <row r="523" spans="1:19" x14ac:dyDescent="0.3">
      <c r="A523" s="2">
        <v>44652</v>
      </c>
      <c r="B523">
        <v>167.18</v>
      </c>
      <c r="C523">
        <v>212.22</v>
      </c>
      <c r="D523">
        <v>252.38</v>
      </c>
      <c r="E523">
        <v>259.76</v>
      </c>
      <c r="F523">
        <v>223.29</v>
      </c>
      <c r="G523">
        <v>99.27</v>
      </c>
      <c r="H523">
        <v>104.39</v>
      </c>
      <c r="I523">
        <v>101.85</v>
      </c>
      <c r="J523">
        <v>83.12</v>
      </c>
      <c r="K523">
        <v>25.9</v>
      </c>
      <c r="L523">
        <v>75907.899999999994</v>
      </c>
      <c r="M523">
        <v>65350.29</v>
      </c>
      <c r="N523">
        <v>34.69</v>
      </c>
      <c r="O523">
        <v>6.8150000000000002E-2</v>
      </c>
      <c r="P523">
        <v>5.72</v>
      </c>
      <c r="Q523">
        <v>132.69999999999999</v>
      </c>
      <c r="R523">
        <v>112.15</v>
      </c>
      <c r="S523">
        <v>230.95</v>
      </c>
    </row>
    <row r="524" spans="1:19" x14ac:dyDescent="0.3">
      <c r="A524" s="2">
        <v>44655</v>
      </c>
      <c r="B524">
        <v>167.18</v>
      </c>
      <c r="C524">
        <v>212.22</v>
      </c>
      <c r="D524">
        <v>252.38</v>
      </c>
      <c r="E524">
        <v>259.76</v>
      </c>
      <c r="F524">
        <v>223.29</v>
      </c>
      <c r="G524">
        <v>103.28</v>
      </c>
      <c r="H524">
        <v>107.53</v>
      </c>
      <c r="I524">
        <v>104.77</v>
      </c>
      <c r="J524">
        <v>83.16</v>
      </c>
      <c r="K524">
        <v>25.5</v>
      </c>
      <c r="L524">
        <v>75835.070000000007</v>
      </c>
      <c r="M524">
        <v>64362.44</v>
      </c>
      <c r="N524">
        <v>32.950000000000003</v>
      </c>
      <c r="O524">
        <v>6.8519999999999998E-2</v>
      </c>
      <c r="P524">
        <v>5.7119999999999997</v>
      </c>
      <c r="Q524">
        <v>130.62</v>
      </c>
      <c r="R524">
        <v>109.52500000000001</v>
      </c>
      <c r="S524">
        <v>238.95</v>
      </c>
    </row>
    <row r="525" spans="1:19" x14ac:dyDescent="0.3">
      <c r="A525" s="2">
        <v>44656</v>
      </c>
      <c r="B525">
        <v>167.18</v>
      </c>
      <c r="C525">
        <v>212.22</v>
      </c>
      <c r="D525">
        <v>252.38</v>
      </c>
      <c r="E525">
        <v>259.76</v>
      </c>
      <c r="F525">
        <v>223.29</v>
      </c>
      <c r="G525">
        <v>101.96</v>
      </c>
      <c r="H525">
        <v>106.64</v>
      </c>
      <c r="I525">
        <v>103.27</v>
      </c>
      <c r="J525">
        <v>82.73</v>
      </c>
      <c r="K525">
        <v>21.274702495201531</v>
      </c>
      <c r="L525">
        <v>75286.61</v>
      </c>
      <c r="M525">
        <v>63762.78</v>
      </c>
      <c r="N525">
        <v>33.454999999999998</v>
      </c>
      <c r="O525">
        <v>6.812E-2</v>
      </c>
      <c r="P525">
        <v>6.032</v>
      </c>
      <c r="Q525">
        <v>130.53</v>
      </c>
      <c r="R525">
        <v>108.565</v>
      </c>
      <c r="S525">
        <v>245.5</v>
      </c>
    </row>
    <row r="526" spans="1:19" x14ac:dyDescent="0.3">
      <c r="A526" s="2">
        <v>44657</v>
      </c>
      <c r="B526">
        <v>167.18</v>
      </c>
      <c r="C526">
        <v>212.22</v>
      </c>
      <c r="D526">
        <v>252.38</v>
      </c>
      <c r="E526">
        <v>259.76</v>
      </c>
      <c r="F526">
        <v>223.29</v>
      </c>
      <c r="G526">
        <v>96.23</v>
      </c>
      <c r="H526">
        <v>101.07</v>
      </c>
      <c r="I526">
        <v>98.81</v>
      </c>
      <c r="J526">
        <v>83.65</v>
      </c>
      <c r="K526">
        <v>25.1</v>
      </c>
      <c r="L526">
        <v>74359.03</v>
      </c>
      <c r="M526">
        <v>62217.94</v>
      </c>
      <c r="N526">
        <v>33.44</v>
      </c>
      <c r="O526">
        <v>6.8180000000000004E-2</v>
      </c>
      <c r="P526">
        <v>6.0289999999999999</v>
      </c>
      <c r="Q526">
        <v>129.13</v>
      </c>
      <c r="R526">
        <v>106.79</v>
      </c>
      <c r="S526">
        <v>246.35</v>
      </c>
    </row>
    <row r="527" spans="1:19" x14ac:dyDescent="0.3">
      <c r="A527" s="2">
        <v>44658</v>
      </c>
      <c r="B527">
        <v>167.18</v>
      </c>
      <c r="C527">
        <v>212.22</v>
      </c>
      <c r="D527">
        <v>252.38</v>
      </c>
      <c r="E527">
        <v>259.76</v>
      </c>
      <c r="F527">
        <v>223.29</v>
      </c>
      <c r="G527">
        <v>96.03</v>
      </c>
      <c r="H527">
        <v>100.58</v>
      </c>
      <c r="I527">
        <v>98.42</v>
      </c>
      <c r="J527">
        <v>85.05</v>
      </c>
      <c r="K527">
        <v>25.15</v>
      </c>
      <c r="L527">
        <v>74008.070000000007</v>
      </c>
      <c r="M527">
        <v>62266.9</v>
      </c>
      <c r="N527">
        <v>33.1</v>
      </c>
      <c r="O527">
        <v>6.7769999999999997E-2</v>
      </c>
      <c r="P527">
        <v>6.359</v>
      </c>
      <c r="Q527">
        <v>129.88</v>
      </c>
      <c r="R527">
        <v>104.565</v>
      </c>
      <c r="S527">
        <v>238.75</v>
      </c>
    </row>
    <row r="528" spans="1:19" x14ac:dyDescent="0.3">
      <c r="A528" s="2">
        <v>44659</v>
      </c>
      <c r="B528">
        <v>192.7</v>
      </c>
      <c r="C528">
        <v>234.24</v>
      </c>
      <c r="D528">
        <v>275.89999999999998</v>
      </c>
      <c r="E528">
        <v>281.74</v>
      </c>
      <c r="F528">
        <v>232.45</v>
      </c>
      <c r="G528">
        <v>98.26</v>
      </c>
      <c r="H528">
        <v>102.78</v>
      </c>
      <c r="I528">
        <v>99.72</v>
      </c>
      <c r="J528">
        <v>86.84</v>
      </c>
      <c r="K528">
        <v>25.7</v>
      </c>
      <c r="L528">
        <v>74776.11</v>
      </c>
      <c r="M528">
        <v>65301.02</v>
      </c>
      <c r="N528">
        <v>33.604999999999997</v>
      </c>
      <c r="O528">
        <v>6.8099999999999994E-2</v>
      </c>
      <c r="P528">
        <v>6.2779999999999996</v>
      </c>
      <c r="Q528">
        <v>129.88999999999999</v>
      </c>
      <c r="R528">
        <v>103.88</v>
      </c>
      <c r="S528">
        <v>241.05</v>
      </c>
    </row>
    <row r="529" spans="1:19" x14ac:dyDescent="0.3">
      <c r="A529" s="2">
        <v>44662</v>
      </c>
      <c r="B529">
        <v>192.7</v>
      </c>
      <c r="C529">
        <v>234.24</v>
      </c>
      <c r="D529">
        <v>275.89999999999998</v>
      </c>
      <c r="E529">
        <v>281.74</v>
      </c>
      <c r="F529">
        <v>232.45</v>
      </c>
      <c r="G529">
        <v>94.29</v>
      </c>
      <c r="H529">
        <v>98.48</v>
      </c>
      <c r="I529">
        <v>97.02</v>
      </c>
      <c r="J529">
        <v>83.85</v>
      </c>
      <c r="K529">
        <v>25.3</v>
      </c>
      <c r="L529">
        <v>74426.399999999994</v>
      </c>
      <c r="M529">
        <v>65320.89</v>
      </c>
      <c r="N529">
        <v>33.020000000000003</v>
      </c>
      <c r="O529">
        <v>6.8559999999999996E-2</v>
      </c>
      <c r="P529">
        <v>6.6429999999999998</v>
      </c>
      <c r="Q529">
        <v>128.1</v>
      </c>
      <c r="R529">
        <v>100.13500000000001</v>
      </c>
      <c r="S529">
        <v>235.9</v>
      </c>
    </row>
    <row r="530" spans="1:19" x14ac:dyDescent="0.3">
      <c r="A530" s="2">
        <v>44663</v>
      </c>
      <c r="B530">
        <v>192.7</v>
      </c>
      <c r="C530">
        <v>234.24</v>
      </c>
      <c r="D530">
        <v>275.89999999999998</v>
      </c>
      <c r="E530">
        <v>281.74</v>
      </c>
      <c r="F530">
        <v>232.45</v>
      </c>
      <c r="G530">
        <v>100.6</v>
      </c>
      <c r="H530">
        <v>104.64</v>
      </c>
      <c r="I530">
        <v>101.49</v>
      </c>
      <c r="J530">
        <v>85.6</v>
      </c>
      <c r="K530">
        <v>25.35</v>
      </c>
      <c r="L530">
        <v>73801.88</v>
      </c>
      <c r="M530">
        <v>64760.93</v>
      </c>
      <c r="N530">
        <v>32.965000000000003</v>
      </c>
      <c r="O530">
        <v>6.8870000000000001E-2</v>
      </c>
      <c r="P530">
        <v>6.68</v>
      </c>
      <c r="Q530">
        <v>124.83</v>
      </c>
      <c r="R530">
        <v>102.22</v>
      </c>
      <c r="S530">
        <v>234.7</v>
      </c>
    </row>
    <row r="531" spans="1:19" x14ac:dyDescent="0.3">
      <c r="A531" s="2">
        <v>44664</v>
      </c>
      <c r="B531">
        <v>192.7</v>
      </c>
      <c r="C531">
        <v>234.24</v>
      </c>
      <c r="D531">
        <v>275.89999999999998</v>
      </c>
      <c r="E531">
        <v>281.74</v>
      </c>
      <c r="F531">
        <v>232.45</v>
      </c>
      <c r="G531">
        <v>104.25</v>
      </c>
      <c r="H531">
        <v>108.78</v>
      </c>
      <c r="I531">
        <v>103.7</v>
      </c>
      <c r="J531">
        <v>86.81</v>
      </c>
      <c r="K531">
        <v>26.15</v>
      </c>
      <c r="L531">
        <v>73128.649999999994</v>
      </c>
      <c r="M531">
        <v>64360.800000000003</v>
      </c>
      <c r="N531">
        <v>32.924999999999997</v>
      </c>
      <c r="O531">
        <v>6.862E-2</v>
      </c>
      <c r="P531">
        <v>6.9969999999999999</v>
      </c>
      <c r="Q531">
        <v>125.83</v>
      </c>
      <c r="R531">
        <v>105.325</v>
      </c>
      <c r="S531">
        <v>235.45</v>
      </c>
    </row>
    <row r="532" spans="1:19" x14ac:dyDescent="0.3">
      <c r="A532" s="2">
        <v>44665</v>
      </c>
      <c r="B532">
        <v>215.98</v>
      </c>
      <c r="C532">
        <v>265.25</v>
      </c>
      <c r="D532">
        <v>309.88</v>
      </c>
      <c r="E532">
        <v>326.69</v>
      </c>
      <c r="F532">
        <v>237.11</v>
      </c>
      <c r="G532">
        <v>106.95</v>
      </c>
      <c r="H532">
        <v>111.7</v>
      </c>
      <c r="I532">
        <v>104.82</v>
      </c>
      <c r="J532">
        <v>87.83</v>
      </c>
      <c r="K532">
        <v>26.3</v>
      </c>
      <c r="L532">
        <v>73382.83</v>
      </c>
      <c r="M532">
        <v>63685.73</v>
      </c>
      <c r="N532">
        <v>32.93</v>
      </c>
      <c r="O532">
        <v>6.8190000000000001E-2</v>
      </c>
      <c r="P532">
        <v>7.3</v>
      </c>
      <c r="Q532">
        <v>124.53</v>
      </c>
      <c r="R532">
        <v>95.62</v>
      </c>
      <c r="S532">
        <v>141.61602674307539</v>
      </c>
    </row>
    <row r="533" spans="1:19" x14ac:dyDescent="0.3">
      <c r="A533" s="2">
        <v>44666</v>
      </c>
      <c r="B533">
        <v>87.953183520599239</v>
      </c>
      <c r="C533">
        <v>113.3531554307116</v>
      </c>
      <c r="D533">
        <v>134.97180711610491</v>
      </c>
      <c r="E533">
        <v>144.35149446494461</v>
      </c>
      <c r="F533">
        <v>123.75970973782771</v>
      </c>
      <c r="G533">
        <v>72.345468607825296</v>
      </c>
      <c r="H533">
        <v>76.283020072992699</v>
      </c>
      <c r="I533">
        <v>74.752492970946577</v>
      </c>
      <c r="J533">
        <v>80.871012183692585</v>
      </c>
      <c r="K533">
        <v>21.274702495201531</v>
      </c>
      <c r="L533">
        <v>68736.904810964072</v>
      </c>
      <c r="M533">
        <v>52972.178374291107</v>
      </c>
      <c r="N533">
        <v>17.62252908067542</v>
      </c>
      <c r="O533">
        <v>6.8390000000000006E-2</v>
      </c>
      <c r="P533">
        <v>3.697999090081892</v>
      </c>
      <c r="Q533">
        <v>112.7561105904405</v>
      </c>
      <c r="R533">
        <v>57.384855947955387</v>
      </c>
      <c r="S533">
        <v>141.61602674307539</v>
      </c>
    </row>
    <row r="534" spans="1:19" x14ac:dyDescent="0.3">
      <c r="A534" s="2">
        <v>44669</v>
      </c>
      <c r="B534">
        <v>87.953183520599239</v>
      </c>
      <c r="C534">
        <v>113.3531554307116</v>
      </c>
      <c r="D534">
        <v>134.97180711610491</v>
      </c>
      <c r="E534">
        <v>326.69</v>
      </c>
      <c r="F534">
        <v>123.75970973782771</v>
      </c>
      <c r="G534">
        <v>108.21</v>
      </c>
      <c r="H534">
        <v>113.16</v>
      </c>
      <c r="I534">
        <v>105.44</v>
      </c>
      <c r="J534">
        <v>88.55</v>
      </c>
      <c r="K534">
        <v>21.274702495201531</v>
      </c>
      <c r="L534">
        <v>68736.904810964072</v>
      </c>
      <c r="M534">
        <v>52972.178374291107</v>
      </c>
      <c r="N534">
        <v>25.37</v>
      </c>
      <c r="O534">
        <v>6.8229999999999999E-2</v>
      </c>
      <c r="P534">
        <v>7.82</v>
      </c>
      <c r="Q534">
        <v>122.62</v>
      </c>
      <c r="R534">
        <v>95.62</v>
      </c>
      <c r="S534">
        <v>231</v>
      </c>
    </row>
    <row r="535" spans="1:19" x14ac:dyDescent="0.3">
      <c r="A535" s="2">
        <v>44670</v>
      </c>
      <c r="B535">
        <v>215.98</v>
      </c>
      <c r="C535">
        <v>265.25</v>
      </c>
      <c r="D535">
        <v>309.88</v>
      </c>
      <c r="E535">
        <v>326.69</v>
      </c>
      <c r="F535">
        <v>237.11</v>
      </c>
      <c r="G535">
        <v>102.56</v>
      </c>
      <c r="H535">
        <v>107.25</v>
      </c>
      <c r="I535">
        <v>103.09</v>
      </c>
      <c r="J535">
        <v>87.76</v>
      </c>
      <c r="K535">
        <v>25.95</v>
      </c>
      <c r="L535">
        <v>73830.27</v>
      </c>
      <c r="M535">
        <v>63610.6</v>
      </c>
      <c r="N535">
        <v>25.12</v>
      </c>
      <c r="O535">
        <v>6.6830000000000001E-2</v>
      </c>
      <c r="P535">
        <v>7.1760000000000002</v>
      </c>
      <c r="Q535">
        <v>122.93</v>
      </c>
      <c r="R535">
        <v>93.77</v>
      </c>
      <c r="S535">
        <v>228.25</v>
      </c>
    </row>
    <row r="536" spans="1:19" x14ac:dyDescent="0.3">
      <c r="A536" s="2">
        <v>44671</v>
      </c>
      <c r="B536">
        <v>215.98</v>
      </c>
      <c r="C536">
        <v>265.25</v>
      </c>
      <c r="D536">
        <v>309.88</v>
      </c>
      <c r="E536">
        <v>326.69</v>
      </c>
      <c r="F536">
        <v>237.11</v>
      </c>
      <c r="G536">
        <v>102.75</v>
      </c>
      <c r="H536">
        <v>106.8</v>
      </c>
      <c r="I536">
        <v>103.12</v>
      </c>
      <c r="J536">
        <v>87.96</v>
      </c>
      <c r="K536">
        <v>24.95</v>
      </c>
      <c r="L536">
        <v>73783.429999999993</v>
      </c>
      <c r="M536">
        <v>63512.45</v>
      </c>
      <c r="N536">
        <v>25.2</v>
      </c>
      <c r="O536">
        <v>6.6439999999999999E-2</v>
      </c>
      <c r="P536">
        <v>6.9370000000000003</v>
      </c>
      <c r="Q536">
        <v>123.85</v>
      </c>
      <c r="R536">
        <v>94.23</v>
      </c>
      <c r="S536">
        <v>232.05</v>
      </c>
    </row>
    <row r="537" spans="1:19" x14ac:dyDescent="0.3">
      <c r="A537" s="2">
        <v>44672</v>
      </c>
      <c r="B537">
        <v>215.98</v>
      </c>
      <c r="C537">
        <v>265.25</v>
      </c>
      <c r="D537">
        <v>309.88</v>
      </c>
      <c r="E537">
        <v>326.69</v>
      </c>
      <c r="F537">
        <v>237.11</v>
      </c>
      <c r="G537">
        <v>103.79</v>
      </c>
      <c r="H537">
        <v>108.33</v>
      </c>
      <c r="I537">
        <v>103.85</v>
      </c>
      <c r="J537">
        <v>87.03</v>
      </c>
      <c r="K537">
        <v>24.65</v>
      </c>
      <c r="L537">
        <v>73350.94</v>
      </c>
      <c r="M537">
        <v>62682.36</v>
      </c>
      <c r="N537">
        <v>25.29</v>
      </c>
      <c r="O537">
        <v>6.4909999999999995E-2</v>
      </c>
      <c r="P537">
        <v>6.9569999999999999</v>
      </c>
      <c r="Q537">
        <v>120.71</v>
      </c>
      <c r="R537">
        <v>100.06</v>
      </c>
      <c r="S537">
        <v>234.2</v>
      </c>
    </row>
    <row r="538" spans="1:19" x14ac:dyDescent="0.3">
      <c r="A538" s="2">
        <v>44673</v>
      </c>
      <c r="B538">
        <v>219.92</v>
      </c>
      <c r="C538">
        <v>270.95999999999998</v>
      </c>
      <c r="D538">
        <v>312.47000000000003</v>
      </c>
      <c r="E538">
        <v>326.31</v>
      </c>
      <c r="F538">
        <v>257.5</v>
      </c>
      <c r="G538">
        <v>102.07</v>
      </c>
      <c r="H538">
        <v>106.65</v>
      </c>
      <c r="I538">
        <v>103.43</v>
      </c>
      <c r="J538">
        <v>85.13</v>
      </c>
      <c r="K538">
        <v>24.8</v>
      </c>
      <c r="L538">
        <v>72264.899999999994</v>
      </c>
      <c r="M538">
        <v>59977.120000000003</v>
      </c>
      <c r="N538">
        <v>25.495000000000001</v>
      </c>
      <c r="O538">
        <v>6.3899999999999998E-2</v>
      </c>
      <c r="P538">
        <v>6.5339999999999998</v>
      </c>
      <c r="Q538">
        <v>117.25</v>
      </c>
      <c r="R538">
        <v>94.875</v>
      </c>
      <c r="S538">
        <v>230.2</v>
      </c>
    </row>
    <row r="539" spans="1:19" x14ac:dyDescent="0.3">
      <c r="A539" s="2">
        <v>44676</v>
      </c>
      <c r="B539">
        <v>219.92</v>
      </c>
      <c r="C539">
        <v>270.95999999999998</v>
      </c>
      <c r="D539">
        <v>312.47000000000003</v>
      </c>
      <c r="E539">
        <v>326.31</v>
      </c>
      <c r="F539">
        <v>257.5</v>
      </c>
      <c r="G539">
        <v>98.54</v>
      </c>
      <c r="H539">
        <v>102.32</v>
      </c>
      <c r="I539">
        <v>102.3</v>
      </c>
      <c r="J539">
        <v>82.26</v>
      </c>
      <c r="K539">
        <v>23.85</v>
      </c>
      <c r="L539">
        <v>69750.67</v>
      </c>
      <c r="M539">
        <v>57012.1</v>
      </c>
      <c r="N539">
        <v>25.395</v>
      </c>
      <c r="O539">
        <v>6.3750000000000001E-2</v>
      </c>
      <c r="P539">
        <v>6.6689999999999996</v>
      </c>
      <c r="Q539">
        <v>116.85</v>
      </c>
      <c r="R539">
        <v>92.834999999999994</v>
      </c>
      <c r="S539">
        <v>218.5</v>
      </c>
    </row>
    <row r="540" spans="1:19" x14ac:dyDescent="0.3">
      <c r="A540" s="2">
        <v>44677</v>
      </c>
      <c r="B540">
        <v>219.92</v>
      </c>
      <c r="C540">
        <v>270.95999999999998</v>
      </c>
      <c r="D540">
        <v>312.47000000000003</v>
      </c>
      <c r="E540">
        <v>326.31</v>
      </c>
      <c r="F540">
        <v>257.5</v>
      </c>
      <c r="G540">
        <v>101.7</v>
      </c>
      <c r="H540">
        <v>104.99</v>
      </c>
      <c r="I540">
        <v>102.69</v>
      </c>
      <c r="J540">
        <v>82.29</v>
      </c>
      <c r="K540">
        <v>23.5</v>
      </c>
      <c r="L540">
        <v>70264.11</v>
      </c>
      <c r="M540">
        <v>57624.95</v>
      </c>
      <c r="N540">
        <v>24.995000000000001</v>
      </c>
      <c r="O540">
        <v>6.3100000000000003E-2</v>
      </c>
      <c r="P540">
        <v>6.85</v>
      </c>
      <c r="Q540">
        <v>114.33</v>
      </c>
      <c r="R540">
        <v>103.21</v>
      </c>
      <c r="S540">
        <v>226.1</v>
      </c>
    </row>
    <row r="541" spans="1:19" x14ac:dyDescent="0.3">
      <c r="A541" s="2">
        <v>44678</v>
      </c>
      <c r="B541">
        <v>219.92</v>
      </c>
      <c r="C541">
        <v>270.95999999999998</v>
      </c>
      <c r="D541">
        <v>312.47000000000003</v>
      </c>
      <c r="E541">
        <v>326.31</v>
      </c>
      <c r="F541">
        <v>257.5</v>
      </c>
      <c r="G541">
        <v>102.02</v>
      </c>
      <c r="H541">
        <v>105.32</v>
      </c>
      <c r="I541">
        <v>102.69</v>
      </c>
      <c r="J541">
        <v>84.64</v>
      </c>
      <c r="K541">
        <v>24</v>
      </c>
      <c r="L541">
        <v>68736.904810964072</v>
      </c>
      <c r="M541">
        <v>52972.178374291107</v>
      </c>
      <c r="N541">
        <v>25.145</v>
      </c>
      <c r="O541">
        <v>6.2859999999999999E-2</v>
      </c>
      <c r="P541">
        <v>7.3390000000000004</v>
      </c>
      <c r="Q541">
        <v>116.7</v>
      </c>
      <c r="R541">
        <v>107.425</v>
      </c>
      <c r="S541">
        <v>218.8</v>
      </c>
    </row>
    <row r="542" spans="1:19" x14ac:dyDescent="0.3">
      <c r="A542" s="2">
        <v>44679</v>
      </c>
      <c r="B542">
        <v>219.92</v>
      </c>
      <c r="C542">
        <v>270.95999999999998</v>
      </c>
      <c r="D542">
        <v>312.47000000000003</v>
      </c>
      <c r="E542">
        <v>326.31</v>
      </c>
      <c r="F542">
        <v>257.5</v>
      </c>
      <c r="G542">
        <v>105.36</v>
      </c>
      <c r="H542">
        <v>107.59</v>
      </c>
      <c r="I542">
        <v>102.76</v>
      </c>
      <c r="J542">
        <v>87.2</v>
      </c>
      <c r="K542">
        <v>26.1</v>
      </c>
      <c r="L542">
        <v>71534.570000000007</v>
      </c>
      <c r="M542">
        <v>58818.58</v>
      </c>
      <c r="N542">
        <v>24.82</v>
      </c>
      <c r="O542">
        <v>6.2359999999999999E-2</v>
      </c>
      <c r="P542">
        <v>6.8879999999999999</v>
      </c>
      <c r="Q542">
        <v>119.25</v>
      </c>
      <c r="R542">
        <v>100.142</v>
      </c>
      <c r="S542">
        <v>214.55</v>
      </c>
    </row>
    <row r="543" spans="1:19" x14ac:dyDescent="0.3">
      <c r="A543" s="2">
        <v>44680</v>
      </c>
      <c r="B543">
        <v>190.92</v>
      </c>
      <c r="C543">
        <v>237.52</v>
      </c>
      <c r="D543">
        <v>276.97000000000003</v>
      </c>
      <c r="E543">
        <v>280.04000000000002</v>
      </c>
      <c r="F543">
        <v>231.68</v>
      </c>
      <c r="G543">
        <v>104.69</v>
      </c>
      <c r="H543">
        <v>109.34</v>
      </c>
      <c r="I543">
        <v>102.79</v>
      </c>
      <c r="J543">
        <v>85.25</v>
      </c>
      <c r="K543">
        <v>25.3</v>
      </c>
      <c r="L543">
        <v>72438.25</v>
      </c>
      <c r="M543">
        <v>60262.83</v>
      </c>
      <c r="N543">
        <v>24.53</v>
      </c>
      <c r="O543">
        <v>6.3200000000000006E-2</v>
      </c>
      <c r="P543">
        <v>7.2439999999999998</v>
      </c>
      <c r="Q543">
        <v>115.81</v>
      </c>
      <c r="R543">
        <v>99.45</v>
      </c>
      <c r="S543">
        <v>214.55</v>
      </c>
    </row>
    <row r="544" spans="1:19" x14ac:dyDescent="0.3">
      <c r="A544" s="2">
        <v>44683</v>
      </c>
      <c r="B544">
        <v>87.953183520599239</v>
      </c>
      <c r="C544">
        <v>113.3531554307116</v>
      </c>
      <c r="D544">
        <v>134.97180711610491</v>
      </c>
      <c r="E544">
        <v>144.35149446494461</v>
      </c>
      <c r="F544">
        <v>123.75970973782771</v>
      </c>
      <c r="G544">
        <v>105.17</v>
      </c>
      <c r="H544">
        <v>107.58</v>
      </c>
      <c r="I544">
        <v>103.86</v>
      </c>
      <c r="J544">
        <v>86.41</v>
      </c>
      <c r="K544">
        <v>21.274702495201531</v>
      </c>
      <c r="L544">
        <v>68736.904810964072</v>
      </c>
      <c r="M544">
        <v>52972.178374291107</v>
      </c>
      <c r="N544">
        <v>23.5</v>
      </c>
      <c r="O544">
        <v>6.1850000000000002E-2</v>
      </c>
      <c r="P544">
        <v>7.4749999999999996</v>
      </c>
      <c r="Q544">
        <v>113.48</v>
      </c>
      <c r="R544">
        <v>97.05</v>
      </c>
      <c r="S544">
        <v>210.4</v>
      </c>
    </row>
    <row r="545" spans="1:19" x14ac:dyDescent="0.3">
      <c r="A545" s="2">
        <v>44684</v>
      </c>
      <c r="B545">
        <v>190.92</v>
      </c>
      <c r="C545">
        <v>237.52</v>
      </c>
      <c r="D545">
        <v>276.97000000000003</v>
      </c>
      <c r="E545">
        <v>280.04000000000002</v>
      </c>
      <c r="F545">
        <v>231.68</v>
      </c>
      <c r="G545">
        <v>102.41</v>
      </c>
      <c r="H545">
        <v>104.97</v>
      </c>
      <c r="I545">
        <v>103.39</v>
      </c>
      <c r="J545">
        <v>88.19</v>
      </c>
      <c r="K545">
        <v>25.55</v>
      </c>
      <c r="L545">
        <v>71338.990000000005</v>
      </c>
      <c r="M545">
        <v>60243.43</v>
      </c>
      <c r="N545">
        <v>23.5</v>
      </c>
      <c r="O545">
        <v>6.3369999999999996E-2</v>
      </c>
      <c r="P545">
        <v>7.9539999999999997</v>
      </c>
      <c r="Q545">
        <v>114.48</v>
      </c>
      <c r="R545">
        <v>99.424999999999997</v>
      </c>
      <c r="S545">
        <v>141.61602674307539</v>
      </c>
    </row>
    <row r="546" spans="1:19" x14ac:dyDescent="0.3">
      <c r="A546" s="2">
        <v>44685</v>
      </c>
      <c r="B546">
        <v>190.92</v>
      </c>
      <c r="C546">
        <v>237.52</v>
      </c>
      <c r="D546">
        <v>276.97000000000003</v>
      </c>
      <c r="E546">
        <v>280.04000000000002</v>
      </c>
      <c r="F546">
        <v>231.68</v>
      </c>
      <c r="G546">
        <v>107.81</v>
      </c>
      <c r="H546">
        <v>110.14</v>
      </c>
      <c r="I546">
        <v>105.97</v>
      </c>
      <c r="J546">
        <v>91.7</v>
      </c>
      <c r="K546">
        <v>25.05</v>
      </c>
      <c r="L546">
        <v>70357.58</v>
      </c>
      <c r="M546">
        <v>58742.46</v>
      </c>
      <c r="N546">
        <v>24.04</v>
      </c>
      <c r="O546">
        <v>6.4689999999999998E-2</v>
      </c>
      <c r="P546">
        <v>8.4149999999999991</v>
      </c>
      <c r="Q546">
        <v>109.86</v>
      </c>
      <c r="R546">
        <v>103.82</v>
      </c>
      <c r="S546">
        <v>203.1</v>
      </c>
    </row>
    <row r="547" spans="1:19" x14ac:dyDescent="0.3">
      <c r="A547" s="2">
        <v>44686</v>
      </c>
      <c r="B547">
        <v>190.92</v>
      </c>
      <c r="C547">
        <v>237.52</v>
      </c>
      <c r="D547">
        <v>276.97000000000003</v>
      </c>
      <c r="E547">
        <v>280.04000000000002</v>
      </c>
      <c r="F547">
        <v>231.68</v>
      </c>
      <c r="G547">
        <v>108.26</v>
      </c>
      <c r="H547">
        <v>110.9</v>
      </c>
      <c r="I547">
        <v>106.4</v>
      </c>
      <c r="J547">
        <v>90.31</v>
      </c>
      <c r="K547">
        <v>24.95</v>
      </c>
      <c r="L547">
        <v>69682.649999999994</v>
      </c>
      <c r="M547">
        <v>56987.54</v>
      </c>
      <c r="N547">
        <v>24.145</v>
      </c>
      <c r="O547">
        <v>6.25E-2</v>
      </c>
      <c r="P547">
        <v>8.7829999999999995</v>
      </c>
      <c r="Q547">
        <v>101.63</v>
      </c>
      <c r="R547">
        <v>106.51</v>
      </c>
      <c r="S547">
        <v>199.95</v>
      </c>
    </row>
    <row r="548" spans="1:19" x14ac:dyDescent="0.3">
      <c r="A548" s="2">
        <v>44687</v>
      </c>
      <c r="B548">
        <v>203.31</v>
      </c>
      <c r="C548">
        <v>253.63</v>
      </c>
      <c r="D548">
        <v>290.76</v>
      </c>
      <c r="E548">
        <v>301.97000000000003</v>
      </c>
      <c r="F548">
        <v>259.81</v>
      </c>
      <c r="G548">
        <v>109.77</v>
      </c>
      <c r="H548">
        <v>112.39</v>
      </c>
      <c r="I548">
        <v>107.57</v>
      </c>
      <c r="J548">
        <v>91.69</v>
      </c>
      <c r="K548">
        <v>24.45</v>
      </c>
      <c r="L548">
        <v>67978.14</v>
      </c>
      <c r="M548">
        <v>54820.78</v>
      </c>
      <c r="N548">
        <v>24.03</v>
      </c>
      <c r="O548">
        <v>6.241E-2</v>
      </c>
      <c r="P548">
        <v>8.0429999999999993</v>
      </c>
      <c r="Q548">
        <v>99.81</v>
      </c>
      <c r="R548">
        <v>101.71</v>
      </c>
      <c r="S548">
        <v>200.65</v>
      </c>
    </row>
    <row r="549" spans="1:19" x14ac:dyDescent="0.3">
      <c r="A549" s="2">
        <v>44690</v>
      </c>
      <c r="B549">
        <v>203.31</v>
      </c>
      <c r="C549">
        <v>253.63</v>
      </c>
      <c r="D549">
        <v>290.76</v>
      </c>
      <c r="E549">
        <v>301.97000000000003</v>
      </c>
      <c r="F549">
        <v>259.81</v>
      </c>
      <c r="G549">
        <v>103.09</v>
      </c>
      <c r="H549">
        <v>105.94</v>
      </c>
      <c r="I549">
        <v>102.79</v>
      </c>
      <c r="J549">
        <v>84.46</v>
      </c>
      <c r="K549">
        <v>21.274702495201531</v>
      </c>
      <c r="L549">
        <v>66769.119999999995</v>
      </c>
      <c r="M549">
        <v>53443.64</v>
      </c>
      <c r="N549">
        <v>23.155000000000001</v>
      </c>
      <c r="O549">
        <v>6.1839999999999999E-2</v>
      </c>
      <c r="P549">
        <v>7.0259999999999998</v>
      </c>
      <c r="Q549">
        <v>96.99</v>
      </c>
      <c r="R549">
        <v>93.784999999999997</v>
      </c>
      <c r="S549">
        <v>204.4</v>
      </c>
    </row>
    <row r="550" spans="1:19" x14ac:dyDescent="0.3">
      <c r="A550" s="2">
        <v>44691</v>
      </c>
      <c r="B550">
        <v>203.31</v>
      </c>
      <c r="C550">
        <v>253.63</v>
      </c>
      <c r="D550">
        <v>290.76</v>
      </c>
      <c r="E550">
        <v>301.97000000000003</v>
      </c>
      <c r="F550">
        <v>259.81</v>
      </c>
      <c r="G550">
        <v>99.76</v>
      </c>
      <c r="H550">
        <v>102.46</v>
      </c>
      <c r="I550">
        <v>100.43</v>
      </c>
      <c r="J550">
        <v>85.02</v>
      </c>
      <c r="K550">
        <v>23.6</v>
      </c>
      <c r="L550">
        <v>66966.73</v>
      </c>
      <c r="M550">
        <v>52346.49</v>
      </c>
      <c r="N550">
        <v>22.98</v>
      </c>
      <c r="O550">
        <v>6.191E-2</v>
      </c>
      <c r="P550">
        <v>7.3849999999999998</v>
      </c>
      <c r="Q550">
        <v>96.47</v>
      </c>
      <c r="R550">
        <v>98.8</v>
      </c>
      <c r="S550">
        <v>197.15</v>
      </c>
    </row>
    <row r="551" spans="1:19" x14ac:dyDescent="0.3">
      <c r="A551" s="2">
        <v>44692</v>
      </c>
      <c r="B551">
        <v>203.31</v>
      </c>
      <c r="C551">
        <v>253.63</v>
      </c>
      <c r="D551">
        <v>290.76</v>
      </c>
      <c r="E551">
        <v>301.97000000000003</v>
      </c>
      <c r="F551">
        <v>259.81</v>
      </c>
      <c r="G551">
        <v>105.71</v>
      </c>
      <c r="H551">
        <v>107.51</v>
      </c>
      <c r="I551">
        <v>104.56</v>
      </c>
      <c r="J551">
        <v>86.79</v>
      </c>
      <c r="K551">
        <v>23.9</v>
      </c>
      <c r="L551">
        <v>68416.41</v>
      </c>
      <c r="M551">
        <v>53208.07</v>
      </c>
      <c r="N551">
        <v>23.375</v>
      </c>
      <c r="O551">
        <v>6.2129999999999998E-2</v>
      </c>
      <c r="P551">
        <v>7.64</v>
      </c>
      <c r="Q551">
        <v>94.55</v>
      </c>
      <c r="R551">
        <v>94.01</v>
      </c>
      <c r="S551">
        <v>191.65</v>
      </c>
    </row>
    <row r="552" spans="1:19" x14ac:dyDescent="0.3">
      <c r="A552" s="2">
        <v>44693</v>
      </c>
      <c r="B552">
        <v>203.31</v>
      </c>
      <c r="C552">
        <v>253.63</v>
      </c>
      <c r="D552">
        <v>290.76</v>
      </c>
      <c r="E552">
        <v>301.97000000000003</v>
      </c>
      <c r="F552">
        <v>259.81</v>
      </c>
      <c r="G552">
        <v>106.13</v>
      </c>
      <c r="H552">
        <v>107.45</v>
      </c>
      <c r="I552">
        <v>104.66</v>
      </c>
      <c r="J552">
        <v>86.3</v>
      </c>
      <c r="K552">
        <v>23.45</v>
      </c>
      <c r="L552">
        <v>67251.89</v>
      </c>
      <c r="M552">
        <v>50129.22</v>
      </c>
      <c r="N552">
        <v>23.53</v>
      </c>
      <c r="O552">
        <v>6.2050000000000001E-2</v>
      </c>
      <c r="P552">
        <v>7.7389999999999999</v>
      </c>
      <c r="Q552">
        <v>95.5</v>
      </c>
      <c r="R552">
        <v>106.7</v>
      </c>
      <c r="S552">
        <v>183.45</v>
      </c>
    </row>
    <row r="553" spans="1:19" x14ac:dyDescent="0.3">
      <c r="A553" s="2">
        <v>44694</v>
      </c>
      <c r="B553">
        <v>208.26</v>
      </c>
      <c r="C553">
        <v>260.79000000000002</v>
      </c>
      <c r="D553">
        <v>295.60000000000002</v>
      </c>
      <c r="E553">
        <v>324.60000000000002</v>
      </c>
      <c r="F553">
        <v>262.18</v>
      </c>
      <c r="G553">
        <v>110.49</v>
      </c>
      <c r="H553">
        <v>111.55</v>
      </c>
      <c r="I553">
        <v>107.23</v>
      </c>
      <c r="J553">
        <v>88.86</v>
      </c>
      <c r="K553">
        <v>24.5</v>
      </c>
      <c r="L553">
        <v>68650.66</v>
      </c>
      <c r="M553">
        <v>53656.29</v>
      </c>
      <c r="N553">
        <v>23.433</v>
      </c>
      <c r="O553">
        <v>6.182E-2</v>
      </c>
      <c r="P553">
        <v>7.6630000000000003</v>
      </c>
      <c r="Q553">
        <v>98.27</v>
      </c>
      <c r="R553">
        <v>96.88</v>
      </c>
      <c r="S553">
        <v>186.9</v>
      </c>
    </row>
    <row r="554" spans="1:19" x14ac:dyDescent="0.3">
      <c r="A554" s="2">
        <v>44697</v>
      </c>
      <c r="B554">
        <v>208.26</v>
      </c>
      <c r="C554">
        <v>260.79000000000002</v>
      </c>
      <c r="D554">
        <v>295.60000000000002</v>
      </c>
      <c r="E554">
        <v>324.60000000000002</v>
      </c>
      <c r="F554">
        <v>262.18</v>
      </c>
      <c r="G554">
        <v>114.2</v>
      </c>
      <c r="H554">
        <v>114.24</v>
      </c>
      <c r="I554">
        <v>108.4</v>
      </c>
      <c r="J554">
        <v>90.95</v>
      </c>
      <c r="K554">
        <v>24.75</v>
      </c>
      <c r="L554">
        <v>69211.759999999995</v>
      </c>
      <c r="M554">
        <v>53928.31</v>
      </c>
      <c r="N554">
        <v>20.024999999999999</v>
      </c>
      <c r="O554">
        <v>6.1839999999999999E-2</v>
      </c>
      <c r="P554">
        <v>7.9560000000000004</v>
      </c>
      <c r="Q554">
        <v>97.31</v>
      </c>
      <c r="R554">
        <v>92.86</v>
      </c>
      <c r="S554">
        <v>187.6</v>
      </c>
    </row>
    <row r="555" spans="1:19" x14ac:dyDescent="0.3">
      <c r="A555" s="2">
        <v>44698</v>
      </c>
      <c r="B555">
        <v>208.26</v>
      </c>
      <c r="C555">
        <v>260.79000000000002</v>
      </c>
      <c r="D555">
        <v>295.60000000000002</v>
      </c>
      <c r="E555">
        <v>324.60000000000002</v>
      </c>
      <c r="F555">
        <v>262.18</v>
      </c>
      <c r="G555">
        <v>112.4</v>
      </c>
      <c r="H555">
        <v>111.93</v>
      </c>
      <c r="I555">
        <v>106.88</v>
      </c>
      <c r="J555">
        <v>92.11</v>
      </c>
      <c r="K555">
        <v>25</v>
      </c>
      <c r="L555">
        <v>69696.39</v>
      </c>
      <c r="M555">
        <v>53379.839999999997</v>
      </c>
      <c r="N555">
        <v>20.074999999999999</v>
      </c>
      <c r="O555">
        <v>6.2829999999999997E-2</v>
      </c>
      <c r="P555">
        <v>8.3040000000000003</v>
      </c>
      <c r="Q555">
        <v>99.12</v>
      </c>
      <c r="R555">
        <v>94.174999999999997</v>
      </c>
      <c r="S555">
        <v>195.3</v>
      </c>
    </row>
    <row r="556" spans="1:19" x14ac:dyDescent="0.3">
      <c r="A556" s="2">
        <v>44699</v>
      </c>
      <c r="B556">
        <v>208.26</v>
      </c>
      <c r="C556">
        <v>260.79000000000002</v>
      </c>
      <c r="D556">
        <v>295.60000000000002</v>
      </c>
      <c r="E556">
        <v>324.60000000000002</v>
      </c>
      <c r="F556">
        <v>262.18</v>
      </c>
      <c r="G556">
        <v>109.59</v>
      </c>
      <c r="H556">
        <v>109.11</v>
      </c>
      <c r="I556">
        <v>105.53</v>
      </c>
      <c r="J556">
        <v>90.65</v>
      </c>
      <c r="K556">
        <v>25.1</v>
      </c>
      <c r="L556">
        <v>69083.44</v>
      </c>
      <c r="M556">
        <v>52524.99</v>
      </c>
      <c r="N556">
        <v>21.164999999999999</v>
      </c>
      <c r="O556">
        <v>6.2370000000000002E-2</v>
      </c>
      <c r="P556">
        <v>8.3680000000000003</v>
      </c>
      <c r="Q556">
        <v>95.11</v>
      </c>
      <c r="R556">
        <v>94.54</v>
      </c>
      <c r="S556">
        <v>195</v>
      </c>
    </row>
    <row r="557" spans="1:19" x14ac:dyDescent="0.3">
      <c r="A557" s="2">
        <v>44700</v>
      </c>
      <c r="B557">
        <v>208.26</v>
      </c>
      <c r="C557">
        <v>260.79000000000002</v>
      </c>
      <c r="D557">
        <v>295.60000000000002</v>
      </c>
      <c r="E557">
        <v>324.60000000000002</v>
      </c>
      <c r="F557">
        <v>262.18</v>
      </c>
      <c r="G557">
        <v>112.21</v>
      </c>
      <c r="H557">
        <v>112.04</v>
      </c>
      <c r="I557">
        <v>106.99</v>
      </c>
      <c r="J557">
        <v>91.14</v>
      </c>
      <c r="K557">
        <v>24.85</v>
      </c>
      <c r="L557">
        <v>68245.84</v>
      </c>
      <c r="M557">
        <v>52329.79</v>
      </c>
      <c r="N557">
        <v>21.79</v>
      </c>
      <c r="O557">
        <v>6.3079999999999997E-2</v>
      </c>
      <c r="P557">
        <v>8.3079999999999998</v>
      </c>
      <c r="Q557">
        <v>95.9</v>
      </c>
      <c r="R557">
        <v>91.025000000000006</v>
      </c>
      <c r="S557">
        <v>194.3</v>
      </c>
    </row>
    <row r="558" spans="1:19" x14ac:dyDescent="0.3">
      <c r="A558" s="2">
        <v>44701</v>
      </c>
      <c r="B558">
        <v>222.35</v>
      </c>
      <c r="C558">
        <v>274.11</v>
      </c>
      <c r="D558">
        <v>314.74</v>
      </c>
      <c r="E558">
        <v>347.18</v>
      </c>
      <c r="F558">
        <v>252.02</v>
      </c>
      <c r="G558">
        <v>113.23</v>
      </c>
      <c r="H558">
        <v>112.55</v>
      </c>
      <c r="I558">
        <v>107.21</v>
      </c>
      <c r="J558">
        <v>91.86</v>
      </c>
      <c r="K558">
        <v>25.7</v>
      </c>
      <c r="L558">
        <v>67575.28</v>
      </c>
      <c r="M558">
        <v>52213.2</v>
      </c>
      <c r="N558">
        <v>21.824999999999999</v>
      </c>
      <c r="O558">
        <v>6.3079999999999997E-2</v>
      </c>
      <c r="P558">
        <v>8.0830000000000002</v>
      </c>
      <c r="Q558">
        <v>97.62</v>
      </c>
      <c r="R558">
        <v>87.9</v>
      </c>
      <c r="S558">
        <v>194.1</v>
      </c>
    </row>
    <row r="559" spans="1:19" x14ac:dyDescent="0.3">
      <c r="A559" s="2">
        <v>44704</v>
      </c>
      <c r="B559">
        <v>222.35</v>
      </c>
      <c r="C559">
        <v>274.11</v>
      </c>
      <c r="D559">
        <v>314.74</v>
      </c>
      <c r="E559">
        <v>347.18</v>
      </c>
      <c r="F559">
        <v>252.02</v>
      </c>
      <c r="G559">
        <v>110.29</v>
      </c>
      <c r="H559">
        <v>113.42</v>
      </c>
      <c r="I559">
        <v>107.32</v>
      </c>
      <c r="J559">
        <v>93.89</v>
      </c>
      <c r="K559">
        <v>25.55</v>
      </c>
      <c r="L559">
        <v>68367.37</v>
      </c>
      <c r="M559">
        <v>54138.27</v>
      </c>
      <c r="N559">
        <v>22.6</v>
      </c>
      <c r="O559">
        <v>6.343E-2</v>
      </c>
      <c r="P559">
        <v>8.7439999999999998</v>
      </c>
      <c r="Q559">
        <v>98.11</v>
      </c>
      <c r="R559">
        <v>83.29</v>
      </c>
      <c r="S559">
        <v>193.8</v>
      </c>
    </row>
    <row r="560" spans="1:19" x14ac:dyDescent="0.3">
      <c r="A560" s="2">
        <v>44705</v>
      </c>
      <c r="B560">
        <v>222.35</v>
      </c>
      <c r="C560">
        <v>274.11</v>
      </c>
      <c r="D560">
        <v>314.74</v>
      </c>
      <c r="E560">
        <v>347.18</v>
      </c>
      <c r="F560">
        <v>252.02</v>
      </c>
      <c r="G560">
        <v>109.77</v>
      </c>
      <c r="H560">
        <v>113.56</v>
      </c>
      <c r="I560">
        <v>107.17</v>
      </c>
      <c r="J560">
        <v>94.4</v>
      </c>
      <c r="K560">
        <v>25.6</v>
      </c>
      <c r="L560">
        <v>67690.720000000001</v>
      </c>
      <c r="M560">
        <v>53888.34</v>
      </c>
      <c r="N560">
        <v>22.07</v>
      </c>
      <c r="O560">
        <v>6.3869999999999996E-2</v>
      </c>
      <c r="P560">
        <v>8.7959999999999994</v>
      </c>
      <c r="Q560">
        <v>98.36</v>
      </c>
      <c r="R560">
        <v>84.504999999999995</v>
      </c>
      <c r="S560">
        <v>191.9</v>
      </c>
    </row>
    <row r="561" spans="1:19" x14ac:dyDescent="0.3">
      <c r="A561" s="2">
        <v>44706</v>
      </c>
      <c r="B561">
        <v>222.35</v>
      </c>
      <c r="C561">
        <v>274.11</v>
      </c>
      <c r="D561">
        <v>314.74</v>
      </c>
      <c r="E561">
        <v>347.18</v>
      </c>
      <c r="F561">
        <v>252.02</v>
      </c>
      <c r="G561">
        <v>110.33</v>
      </c>
      <c r="H561">
        <v>114.03</v>
      </c>
      <c r="I561">
        <v>107.17</v>
      </c>
      <c r="J561">
        <v>96.3</v>
      </c>
      <c r="K561">
        <v>25.95</v>
      </c>
      <c r="L561">
        <v>67585.25</v>
      </c>
      <c r="M561">
        <v>52959.16</v>
      </c>
      <c r="N561">
        <v>22.22</v>
      </c>
      <c r="O561">
        <v>6.3509999999999997E-2</v>
      </c>
      <c r="P561">
        <v>8.9710000000000001</v>
      </c>
      <c r="Q561">
        <v>97.52</v>
      </c>
      <c r="R561">
        <v>88.08</v>
      </c>
      <c r="S561">
        <v>185.3</v>
      </c>
    </row>
    <row r="562" spans="1:19" x14ac:dyDescent="0.3">
      <c r="A562" s="2">
        <v>44707</v>
      </c>
      <c r="B562">
        <v>222.35</v>
      </c>
      <c r="C562">
        <v>274.11</v>
      </c>
      <c r="D562">
        <v>314.74</v>
      </c>
      <c r="E562">
        <v>347.18</v>
      </c>
      <c r="F562">
        <v>252.02</v>
      </c>
      <c r="G562">
        <v>114.09</v>
      </c>
      <c r="H562">
        <v>117.4</v>
      </c>
      <c r="I562">
        <v>107.64</v>
      </c>
      <c r="J562">
        <v>96.64</v>
      </c>
      <c r="K562">
        <v>26.05</v>
      </c>
      <c r="L562">
        <v>69483.759999999995</v>
      </c>
      <c r="M562">
        <v>55317.32</v>
      </c>
      <c r="N562">
        <v>22.484999999999999</v>
      </c>
      <c r="O562">
        <v>6.3700000000000007E-2</v>
      </c>
      <c r="P562">
        <v>8.9079999999999995</v>
      </c>
      <c r="Q562">
        <v>99.53</v>
      </c>
      <c r="R562">
        <v>85.97</v>
      </c>
      <c r="S562">
        <v>180.25</v>
      </c>
    </row>
    <row r="563" spans="1:19" x14ac:dyDescent="0.3">
      <c r="A563" s="2">
        <v>44708</v>
      </c>
      <c r="B563">
        <v>192.68</v>
      </c>
      <c r="C563">
        <v>246.64</v>
      </c>
      <c r="D563">
        <v>290.52</v>
      </c>
      <c r="E563">
        <v>317.45999999999998</v>
      </c>
      <c r="F563">
        <v>251.72</v>
      </c>
      <c r="G563">
        <v>115.07</v>
      </c>
      <c r="H563">
        <v>119.43</v>
      </c>
      <c r="I563">
        <v>107.75</v>
      </c>
      <c r="J563">
        <v>97.59</v>
      </c>
      <c r="K563">
        <v>26.35</v>
      </c>
      <c r="L563">
        <v>70485.460000000006</v>
      </c>
      <c r="M563">
        <v>55306.76</v>
      </c>
      <c r="N563">
        <v>22.625</v>
      </c>
      <c r="O563">
        <v>6.4170000000000005E-2</v>
      </c>
      <c r="P563">
        <v>8.7270000000000003</v>
      </c>
      <c r="Q563">
        <v>102.7</v>
      </c>
      <c r="R563">
        <v>86.875</v>
      </c>
      <c r="S563">
        <v>184.05</v>
      </c>
    </row>
    <row r="564" spans="1:19" x14ac:dyDescent="0.3">
      <c r="A564" s="2">
        <v>44711</v>
      </c>
      <c r="B564">
        <v>192.68</v>
      </c>
      <c r="C564">
        <v>246.64</v>
      </c>
      <c r="D564">
        <v>290.52</v>
      </c>
      <c r="E564">
        <v>317.45999999999998</v>
      </c>
      <c r="F564">
        <v>251.72</v>
      </c>
      <c r="G564">
        <v>117.61</v>
      </c>
      <c r="H564">
        <v>121.67</v>
      </c>
      <c r="I564">
        <v>74.752492970946577</v>
      </c>
      <c r="J564">
        <v>80.871012183692585</v>
      </c>
      <c r="K564">
        <v>26.05</v>
      </c>
      <c r="L564">
        <v>71958.149999999994</v>
      </c>
      <c r="M564">
        <v>56301.94</v>
      </c>
      <c r="N564">
        <v>17.62252908067542</v>
      </c>
      <c r="O564">
        <v>6.4519999999999994E-2</v>
      </c>
      <c r="P564">
        <v>8.6859999999999999</v>
      </c>
      <c r="Q564">
        <v>112.7561105904405</v>
      </c>
      <c r="R564">
        <v>57.384855947955387</v>
      </c>
      <c r="S564">
        <v>192.35</v>
      </c>
    </row>
    <row r="565" spans="1:19" x14ac:dyDescent="0.3">
      <c r="A565" s="2">
        <v>44712</v>
      </c>
      <c r="B565">
        <v>192.68</v>
      </c>
      <c r="C565">
        <v>246.64</v>
      </c>
      <c r="D565">
        <v>290.52</v>
      </c>
      <c r="E565">
        <v>317.45999999999998</v>
      </c>
      <c r="F565">
        <v>251.72</v>
      </c>
      <c r="G565">
        <v>114.67</v>
      </c>
      <c r="H565">
        <v>122.84</v>
      </c>
      <c r="I565">
        <v>108.13</v>
      </c>
      <c r="J565">
        <v>96</v>
      </c>
      <c r="K565">
        <v>26.25</v>
      </c>
      <c r="L565">
        <v>72094.87</v>
      </c>
      <c r="M565">
        <v>53684.97</v>
      </c>
      <c r="N565">
        <v>24.074999999999999</v>
      </c>
      <c r="O565">
        <v>6.3939999999999997E-2</v>
      </c>
      <c r="P565">
        <v>8.1449999999999996</v>
      </c>
      <c r="Q565">
        <v>102.39</v>
      </c>
      <c r="R565">
        <v>94.004999999999995</v>
      </c>
      <c r="S565">
        <v>194.65</v>
      </c>
    </row>
    <row r="566" spans="1:19" x14ac:dyDescent="0.3">
      <c r="A566" s="2">
        <v>44713</v>
      </c>
      <c r="B566">
        <v>194.96</v>
      </c>
      <c r="C566">
        <v>255.32</v>
      </c>
      <c r="D566">
        <v>303.74</v>
      </c>
      <c r="E566">
        <v>333.07</v>
      </c>
      <c r="F566">
        <v>249.34</v>
      </c>
      <c r="G566">
        <v>115.26</v>
      </c>
      <c r="H566">
        <v>116.29</v>
      </c>
      <c r="I566">
        <v>110.91</v>
      </c>
      <c r="J566">
        <v>97.84</v>
      </c>
      <c r="K566">
        <v>26.5</v>
      </c>
      <c r="L566">
        <v>70849.38</v>
      </c>
      <c r="M566">
        <v>51997.82</v>
      </c>
      <c r="N566">
        <v>24.015000000000001</v>
      </c>
      <c r="O566">
        <v>6.4210000000000003E-2</v>
      </c>
      <c r="P566">
        <v>8.6959999999999997</v>
      </c>
      <c r="Q566">
        <v>101.99</v>
      </c>
      <c r="R566">
        <v>85.55</v>
      </c>
      <c r="S566">
        <v>190.6</v>
      </c>
    </row>
    <row r="567" spans="1:19" x14ac:dyDescent="0.3">
      <c r="A567" s="2">
        <v>44714</v>
      </c>
      <c r="B567">
        <v>87.953183520599239</v>
      </c>
      <c r="C567">
        <v>113.3531554307116</v>
      </c>
      <c r="D567">
        <v>134.97180711610491</v>
      </c>
      <c r="E567">
        <v>333.07</v>
      </c>
      <c r="F567">
        <v>123.75970973782771</v>
      </c>
      <c r="G567">
        <v>116.87</v>
      </c>
      <c r="H567">
        <v>117.61</v>
      </c>
      <c r="I567">
        <v>112.02</v>
      </c>
      <c r="J567">
        <v>97.67</v>
      </c>
      <c r="K567">
        <v>26.25</v>
      </c>
      <c r="L567">
        <v>71035</v>
      </c>
      <c r="M567">
        <v>53844.98</v>
      </c>
      <c r="N567">
        <v>24.015000000000001</v>
      </c>
      <c r="O567">
        <v>6.4630000000000007E-2</v>
      </c>
      <c r="P567">
        <v>8.4849999999999994</v>
      </c>
      <c r="Q567">
        <v>102.9</v>
      </c>
      <c r="R567">
        <v>83.944999999999993</v>
      </c>
      <c r="S567">
        <v>188.1</v>
      </c>
    </row>
    <row r="568" spans="1:19" x14ac:dyDescent="0.3">
      <c r="A568" s="2">
        <v>44715</v>
      </c>
      <c r="B568">
        <v>87.953183520599239</v>
      </c>
      <c r="C568">
        <v>113.3531554307116</v>
      </c>
      <c r="D568">
        <v>134.97180711610491</v>
      </c>
      <c r="E568">
        <v>333.07</v>
      </c>
      <c r="F568">
        <v>123.75970973782771</v>
      </c>
      <c r="G568">
        <v>118.87</v>
      </c>
      <c r="H568">
        <v>119.72</v>
      </c>
      <c r="I568">
        <v>113.83</v>
      </c>
      <c r="J568">
        <v>99.09</v>
      </c>
      <c r="K568">
        <v>21.274702495201531</v>
      </c>
      <c r="L568">
        <v>70920.45</v>
      </c>
      <c r="M568">
        <v>52115.87</v>
      </c>
      <c r="N568">
        <v>24.015000000000001</v>
      </c>
      <c r="O568">
        <v>6.4339999999999994E-2</v>
      </c>
      <c r="P568">
        <v>8.5229999999999997</v>
      </c>
      <c r="Q568">
        <v>100.94</v>
      </c>
      <c r="R568">
        <v>83.1</v>
      </c>
      <c r="S568">
        <v>182.3</v>
      </c>
    </row>
    <row r="569" spans="1:19" x14ac:dyDescent="0.3">
      <c r="A569" s="2">
        <v>44718</v>
      </c>
      <c r="B569">
        <v>194.96</v>
      </c>
      <c r="C569">
        <v>255.32</v>
      </c>
      <c r="D569">
        <v>303.74</v>
      </c>
      <c r="E569">
        <v>333.07</v>
      </c>
      <c r="F569">
        <v>249.34</v>
      </c>
      <c r="G569">
        <v>118.5</v>
      </c>
      <c r="H569">
        <v>119.51</v>
      </c>
      <c r="I569">
        <v>114.01</v>
      </c>
      <c r="J569">
        <v>98.84</v>
      </c>
      <c r="K569">
        <v>26.25</v>
      </c>
      <c r="L569">
        <v>71120.09</v>
      </c>
      <c r="M569">
        <v>51073.66</v>
      </c>
      <c r="N569">
        <v>23.355</v>
      </c>
      <c r="O569">
        <v>6.4780000000000004E-2</v>
      </c>
      <c r="P569">
        <v>9.3219999999999992</v>
      </c>
      <c r="Q569">
        <v>100.86</v>
      </c>
      <c r="R569">
        <v>82.56</v>
      </c>
      <c r="S569">
        <v>175.25</v>
      </c>
    </row>
    <row r="570" spans="1:19" x14ac:dyDescent="0.3">
      <c r="A570" s="2">
        <v>44719</v>
      </c>
      <c r="B570">
        <v>194.96</v>
      </c>
      <c r="C570">
        <v>255.32</v>
      </c>
      <c r="D570">
        <v>303.74</v>
      </c>
      <c r="E570">
        <v>333.07</v>
      </c>
      <c r="F570">
        <v>249.34</v>
      </c>
      <c r="G570">
        <v>119.41</v>
      </c>
      <c r="H570">
        <v>120.57</v>
      </c>
      <c r="I570">
        <v>115.29</v>
      </c>
      <c r="J570">
        <v>103.37</v>
      </c>
      <c r="K570">
        <v>26.05</v>
      </c>
      <c r="L570">
        <v>70318.23</v>
      </c>
      <c r="M570">
        <v>50448.26</v>
      </c>
      <c r="N570">
        <v>22.87</v>
      </c>
      <c r="O570">
        <v>6.4939999999999998E-2</v>
      </c>
      <c r="P570">
        <v>9.2929999999999993</v>
      </c>
      <c r="Q570">
        <v>101.76</v>
      </c>
      <c r="R570">
        <v>79.61</v>
      </c>
      <c r="S570">
        <v>178</v>
      </c>
    </row>
    <row r="571" spans="1:19" x14ac:dyDescent="0.3">
      <c r="A571" s="2">
        <v>44720</v>
      </c>
      <c r="B571">
        <v>194.96</v>
      </c>
      <c r="C571">
        <v>255.32</v>
      </c>
      <c r="D571">
        <v>303.74</v>
      </c>
      <c r="E571">
        <v>333.07</v>
      </c>
      <c r="F571">
        <v>249.34</v>
      </c>
      <c r="G571">
        <v>122.11</v>
      </c>
      <c r="H571">
        <v>123.58</v>
      </c>
      <c r="I571">
        <v>117.5</v>
      </c>
      <c r="J571">
        <v>104.59</v>
      </c>
      <c r="K571">
        <v>27.1</v>
      </c>
      <c r="L571">
        <v>69950.210000000006</v>
      </c>
      <c r="M571">
        <v>49740.41</v>
      </c>
      <c r="N571">
        <v>22.774999999999999</v>
      </c>
      <c r="O571">
        <v>6.5360000000000001E-2</v>
      </c>
      <c r="P571">
        <v>8.6989999999999998</v>
      </c>
      <c r="Q571">
        <v>101.38</v>
      </c>
      <c r="R571">
        <v>79.405000000000001</v>
      </c>
      <c r="S571">
        <v>175.85</v>
      </c>
    </row>
    <row r="572" spans="1:19" x14ac:dyDescent="0.3">
      <c r="A572" s="2">
        <v>44721</v>
      </c>
      <c r="B572">
        <v>194.96</v>
      </c>
      <c r="C572">
        <v>255.32</v>
      </c>
      <c r="D572">
        <v>303.74</v>
      </c>
      <c r="E572">
        <v>333.07</v>
      </c>
      <c r="F572">
        <v>249.34</v>
      </c>
      <c r="G572">
        <v>121.51</v>
      </c>
      <c r="H572">
        <v>123.07</v>
      </c>
      <c r="I572">
        <v>117.09</v>
      </c>
      <c r="J572">
        <v>102.33</v>
      </c>
      <c r="K572">
        <v>27.5</v>
      </c>
      <c r="L572">
        <v>68910.8</v>
      </c>
      <c r="M572">
        <v>48134.19</v>
      </c>
      <c r="N572">
        <v>23.16</v>
      </c>
      <c r="O572">
        <v>6.4409999999999995E-2</v>
      </c>
      <c r="P572">
        <v>8.9629999999999992</v>
      </c>
      <c r="Q572">
        <v>99.5</v>
      </c>
      <c r="R572">
        <v>84.88</v>
      </c>
      <c r="S572">
        <v>184.8</v>
      </c>
    </row>
    <row r="573" spans="1:19" x14ac:dyDescent="0.3">
      <c r="A573" s="2">
        <v>44722</v>
      </c>
      <c r="B573">
        <v>171.75</v>
      </c>
      <c r="C573">
        <v>231.88</v>
      </c>
      <c r="D573">
        <v>282.79000000000002</v>
      </c>
      <c r="E573">
        <v>312.42</v>
      </c>
      <c r="F573">
        <v>235.58</v>
      </c>
      <c r="G573">
        <v>120.67</v>
      </c>
      <c r="H573">
        <v>122.01</v>
      </c>
      <c r="I573">
        <v>116.67</v>
      </c>
      <c r="J573">
        <v>100.46</v>
      </c>
      <c r="K573">
        <v>27.2</v>
      </c>
      <c r="L573">
        <v>67803.509999999995</v>
      </c>
      <c r="M573">
        <v>49033.120000000003</v>
      </c>
      <c r="N573">
        <v>23.164999999999999</v>
      </c>
      <c r="O573">
        <v>6.3130000000000006E-2</v>
      </c>
      <c r="P573">
        <v>8.85</v>
      </c>
      <c r="Q573">
        <v>97.78</v>
      </c>
      <c r="R573">
        <v>82.465000000000003</v>
      </c>
      <c r="S573">
        <v>182.2</v>
      </c>
    </row>
    <row r="574" spans="1:19" x14ac:dyDescent="0.3">
      <c r="A574" s="2">
        <v>44725</v>
      </c>
      <c r="B574">
        <v>171.75</v>
      </c>
      <c r="C574">
        <v>231.88</v>
      </c>
      <c r="D574">
        <v>282.79000000000002</v>
      </c>
      <c r="E574">
        <v>312.42</v>
      </c>
      <c r="F574">
        <v>235.58</v>
      </c>
      <c r="G574">
        <v>120.93</v>
      </c>
      <c r="H574">
        <v>122.27</v>
      </c>
      <c r="I574">
        <v>116.64</v>
      </c>
      <c r="J574">
        <v>95.85</v>
      </c>
      <c r="K574">
        <v>26.9</v>
      </c>
      <c r="L574">
        <v>66381.03</v>
      </c>
      <c r="M574">
        <v>47426.28</v>
      </c>
      <c r="N574">
        <v>23.035</v>
      </c>
      <c r="O574">
        <v>6.2050000000000001E-2</v>
      </c>
      <c r="P574">
        <v>8.609</v>
      </c>
      <c r="Q574">
        <v>96.82</v>
      </c>
      <c r="R574">
        <v>83.4</v>
      </c>
      <c r="S574">
        <v>177.35</v>
      </c>
    </row>
    <row r="575" spans="1:19" x14ac:dyDescent="0.3">
      <c r="A575" s="2">
        <v>44726</v>
      </c>
      <c r="B575">
        <v>171.75</v>
      </c>
      <c r="C575">
        <v>231.88</v>
      </c>
      <c r="D575">
        <v>282.79000000000002</v>
      </c>
      <c r="E575">
        <v>312.42</v>
      </c>
      <c r="F575">
        <v>235.58</v>
      </c>
      <c r="G575">
        <v>118.93</v>
      </c>
      <c r="H575">
        <v>121.17</v>
      </c>
      <c r="I575">
        <v>115.71</v>
      </c>
      <c r="J575">
        <v>96.1</v>
      </c>
      <c r="K575">
        <v>26.75</v>
      </c>
      <c r="L575">
        <v>65683.520000000004</v>
      </c>
      <c r="M575">
        <v>46400.29</v>
      </c>
      <c r="N575">
        <v>23.175000000000001</v>
      </c>
      <c r="O575">
        <v>6.2300000000000001E-2</v>
      </c>
      <c r="P575">
        <v>7.1890000000000001</v>
      </c>
      <c r="Q575">
        <v>94.05</v>
      </c>
      <c r="R575">
        <v>97.04</v>
      </c>
      <c r="S575">
        <v>175.7</v>
      </c>
    </row>
    <row r="576" spans="1:19" x14ac:dyDescent="0.3">
      <c r="A576" s="2">
        <v>44727</v>
      </c>
      <c r="B576">
        <v>171.75</v>
      </c>
      <c r="C576">
        <v>231.88</v>
      </c>
      <c r="D576">
        <v>282.79000000000002</v>
      </c>
      <c r="E576">
        <v>312.42</v>
      </c>
      <c r="F576">
        <v>235.58</v>
      </c>
      <c r="G576">
        <v>115.31</v>
      </c>
      <c r="H576">
        <v>118.51</v>
      </c>
      <c r="I576">
        <v>114.35</v>
      </c>
      <c r="J576">
        <v>94.89</v>
      </c>
      <c r="K576">
        <v>26.5</v>
      </c>
      <c r="L576">
        <v>67502.09</v>
      </c>
      <c r="M576">
        <v>48385.919999999998</v>
      </c>
      <c r="N576">
        <v>23.395</v>
      </c>
      <c r="O576">
        <v>6.3299999999999995E-2</v>
      </c>
      <c r="P576">
        <v>7.42</v>
      </c>
      <c r="Q576">
        <v>95.63</v>
      </c>
      <c r="R576">
        <v>120.33</v>
      </c>
      <c r="S576">
        <v>174.85</v>
      </c>
    </row>
    <row r="577" spans="1:19" x14ac:dyDescent="0.3">
      <c r="A577" s="2">
        <v>44728</v>
      </c>
      <c r="B577">
        <v>171.75</v>
      </c>
      <c r="C577">
        <v>231.88</v>
      </c>
      <c r="D577">
        <v>282.79000000000002</v>
      </c>
      <c r="E577">
        <v>312.42</v>
      </c>
      <c r="F577">
        <v>235.58</v>
      </c>
      <c r="G577">
        <v>117.59</v>
      </c>
      <c r="H577">
        <v>119.81</v>
      </c>
      <c r="I577">
        <v>115.34</v>
      </c>
      <c r="J577">
        <v>91.39</v>
      </c>
      <c r="K577">
        <v>25.3</v>
      </c>
      <c r="L577">
        <v>68736.904810964072</v>
      </c>
      <c r="M577">
        <v>52972.178374291107</v>
      </c>
      <c r="N577">
        <v>34.65</v>
      </c>
      <c r="O577">
        <v>6.2489999999999997E-2</v>
      </c>
      <c r="P577">
        <v>7.4640000000000004</v>
      </c>
      <c r="Q577">
        <v>94.85</v>
      </c>
      <c r="R577">
        <v>124.36499999999999</v>
      </c>
      <c r="S577">
        <v>168.7</v>
      </c>
    </row>
    <row r="578" spans="1:19" x14ac:dyDescent="0.3">
      <c r="A578" s="2">
        <v>44729</v>
      </c>
      <c r="B578">
        <v>152.38</v>
      </c>
      <c r="C578">
        <v>208.65</v>
      </c>
      <c r="D578">
        <v>270.89</v>
      </c>
      <c r="E578">
        <v>312.3</v>
      </c>
      <c r="F578">
        <v>215.13</v>
      </c>
      <c r="G578">
        <v>109.56</v>
      </c>
      <c r="H578">
        <v>113.12</v>
      </c>
      <c r="I578">
        <v>112.72</v>
      </c>
      <c r="J578">
        <v>86.12</v>
      </c>
      <c r="K578">
        <v>25</v>
      </c>
      <c r="L578">
        <v>65390.879999999997</v>
      </c>
      <c r="M578">
        <v>48457.17</v>
      </c>
      <c r="N578">
        <v>33.954999999999998</v>
      </c>
      <c r="O578">
        <v>6.2390000000000001E-2</v>
      </c>
      <c r="P578">
        <v>6.944</v>
      </c>
      <c r="Q578">
        <v>90.33</v>
      </c>
      <c r="R578">
        <v>117.74</v>
      </c>
      <c r="S578">
        <v>172.75</v>
      </c>
    </row>
    <row r="579" spans="1:19" x14ac:dyDescent="0.3">
      <c r="A579" s="2">
        <v>44732</v>
      </c>
      <c r="B579">
        <v>152.38</v>
      </c>
      <c r="C579">
        <v>208.65</v>
      </c>
      <c r="D579">
        <v>270.89</v>
      </c>
      <c r="E579">
        <v>312.3</v>
      </c>
      <c r="F579">
        <v>215.13</v>
      </c>
      <c r="G579">
        <v>108.84</v>
      </c>
      <c r="H579">
        <v>114.13</v>
      </c>
      <c r="I579">
        <v>74.752492970946577</v>
      </c>
      <c r="J579">
        <v>80.871012183692585</v>
      </c>
      <c r="K579">
        <v>24.2</v>
      </c>
      <c r="L579">
        <v>66350.31</v>
      </c>
      <c r="M579">
        <v>48323.45</v>
      </c>
      <c r="N579">
        <v>17.62252908067542</v>
      </c>
      <c r="O579">
        <v>6.2330000000000003E-2</v>
      </c>
      <c r="P579">
        <v>6.7130000000000001</v>
      </c>
      <c r="Q579">
        <v>112.7561105904405</v>
      </c>
      <c r="R579">
        <v>57.384855947955387</v>
      </c>
      <c r="S579">
        <v>168.9</v>
      </c>
    </row>
    <row r="580" spans="1:19" x14ac:dyDescent="0.3">
      <c r="A580" s="2">
        <v>44733</v>
      </c>
      <c r="B580">
        <v>152.38</v>
      </c>
      <c r="C580">
        <v>208.65</v>
      </c>
      <c r="D580">
        <v>270.89</v>
      </c>
      <c r="E580">
        <v>312.3</v>
      </c>
      <c r="F580">
        <v>215.13</v>
      </c>
      <c r="G580">
        <v>110.65</v>
      </c>
      <c r="H580">
        <v>114.65</v>
      </c>
      <c r="I580">
        <v>113.34</v>
      </c>
      <c r="J580">
        <v>91.48</v>
      </c>
      <c r="K580">
        <v>24.85</v>
      </c>
      <c r="L580">
        <v>66747.23</v>
      </c>
      <c r="M580">
        <v>48658.86</v>
      </c>
      <c r="N580">
        <v>37.325000000000003</v>
      </c>
      <c r="O580">
        <v>6.2770000000000006E-2</v>
      </c>
      <c r="P580">
        <v>6.8079999999999998</v>
      </c>
      <c r="Q580">
        <v>93.81</v>
      </c>
      <c r="R580">
        <v>125.56</v>
      </c>
      <c r="S580">
        <v>174.05</v>
      </c>
    </row>
    <row r="581" spans="1:19" x14ac:dyDescent="0.3">
      <c r="A581" s="2">
        <v>44734</v>
      </c>
      <c r="B581">
        <v>152.38</v>
      </c>
      <c r="C581">
        <v>208.65</v>
      </c>
      <c r="D581">
        <v>270.89</v>
      </c>
      <c r="E581">
        <v>312.3</v>
      </c>
      <c r="F581">
        <v>215.13</v>
      </c>
      <c r="G581">
        <v>106.19</v>
      </c>
      <c r="H581">
        <v>111.74</v>
      </c>
      <c r="I581">
        <v>112.34</v>
      </c>
      <c r="J581">
        <v>87.86</v>
      </c>
      <c r="K581">
        <v>24.35</v>
      </c>
      <c r="L581">
        <v>65712.679999999993</v>
      </c>
      <c r="M581">
        <v>47650.02</v>
      </c>
      <c r="N581">
        <v>37.11</v>
      </c>
      <c r="O581">
        <v>6.2810000000000005E-2</v>
      </c>
      <c r="P581">
        <v>6.8579999999999997</v>
      </c>
      <c r="Q581">
        <v>93.96</v>
      </c>
      <c r="R581">
        <v>127.17</v>
      </c>
      <c r="S581">
        <v>169.75</v>
      </c>
    </row>
    <row r="582" spans="1:19" x14ac:dyDescent="0.3">
      <c r="A582" s="2">
        <v>44735</v>
      </c>
      <c r="B582">
        <v>152.38</v>
      </c>
      <c r="C582">
        <v>208.65</v>
      </c>
      <c r="D582">
        <v>270.89</v>
      </c>
      <c r="E582">
        <v>312.3</v>
      </c>
      <c r="F582">
        <v>215.13</v>
      </c>
      <c r="G582">
        <v>104.27</v>
      </c>
      <c r="H582">
        <v>110.05</v>
      </c>
      <c r="I582">
        <v>111.86</v>
      </c>
      <c r="J582">
        <v>85.21</v>
      </c>
      <c r="K582">
        <v>24.7</v>
      </c>
      <c r="L582">
        <v>65295.42</v>
      </c>
      <c r="M582">
        <v>47031.81</v>
      </c>
      <c r="N582">
        <v>37.130000000000003</v>
      </c>
      <c r="O582">
        <v>6.2630000000000005E-2</v>
      </c>
      <c r="P582">
        <v>6.2389999999999999</v>
      </c>
      <c r="Q582">
        <v>96.68</v>
      </c>
      <c r="R582">
        <v>133.345</v>
      </c>
      <c r="S582">
        <v>171</v>
      </c>
    </row>
    <row r="583" spans="1:19" x14ac:dyDescent="0.3">
      <c r="A583" s="2">
        <v>44736</v>
      </c>
      <c r="B583">
        <v>180.69</v>
      </c>
      <c r="C583">
        <v>269.37</v>
      </c>
      <c r="D583">
        <v>323.82</v>
      </c>
      <c r="E583">
        <v>354.25</v>
      </c>
      <c r="F583">
        <v>216.24</v>
      </c>
      <c r="G583">
        <v>107.62</v>
      </c>
      <c r="H583">
        <v>113.12</v>
      </c>
      <c r="I583">
        <v>112.3</v>
      </c>
      <c r="J583">
        <v>86.9</v>
      </c>
      <c r="K583">
        <v>24.5</v>
      </c>
      <c r="L583">
        <v>66348.75</v>
      </c>
      <c r="M583">
        <v>47129.7</v>
      </c>
      <c r="N583">
        <v>37.094999999999999</v>
      </c>
      <c r="O583">
        <v>6.3240000000000005E-2</v>
      </c>
      <c r="P583">
        <v>6.22</v>
      </c>
      <c r="Q583">
        <v>97.91</v>
      </c>
      <c r="R583">
        <v>128.505</v>
      </c>
      <c r="S583">
        <v>174.1</v>
      </c>
    </row>
    <row r="584" spans="1:19" x14ac:dyDescent="0.3">
      <c r="A584" s="2">
        <v>44739</v>
      </c>
      <c r="B584">
        <v>180.69</v>
      </c>
      <c r="C584">
        <v>269.37</v>
      </c>
      <c r="D584">
        <v>323.82</v>
      </c>
      <c r="E584">
        <v>354.25</v>
      </c>
      <c r="F584">
        <v>216.24</v>
      </c>
      <c r="G584">
        <v>109.57</v>
      </c>
      <c r="H584">
        <v>115.09</v>
      </c>
      <c r="I584">
        <v>112.7</v>
      </c>
      <c r="J584">
        <v>89.03</v>
      </c>
      <c r="K584">
        <v>25.55</v>
      </c>
      <c r="L584">
        <v>67826.78</v>
      </c>
      <c r="M584">
        <v>47719.22</v>
      </c>
      <c r="N584">
        <v>37.090000000000003</v>
      </c>
      <c r="O584">
        <v>6.3009999999999997E-2</v>
      </c>
      <c r="P584">
        <v>6.5010000000000003</v>
      </c>
      <c r="Q584">
        <v>98.68</v>
      </c>
      <c r="R584">
        <v>129.46</v>
      </c>
      <c r="S584">
        <v>174.9</v>
      </c>
    </row>
    <row r="585" spans="1:19" x14ac:dyDescent="0.3">
      <c r="A585" s="2">
        <v>44740</v>
      </c>
      <c r="B585">
        <v>180.69</v>
      </c>
      <c r="C585">
        <v>269.37</v>
      </c>
      <c r="D585">
        <v>323.82</v>
      </c>
      <c r="E585">
        <v>354.25</v>
      </c>
      <c r="F585">
        <v>216.24</v>
      </c>
      <c r="G585">
        <v>111.76</v>
      </c>
      <c r="H585">
        <v>117.98</v>
      </c>
      <c r="I585">
        <v>113.11</v>
      </c>
      <c r="J585">
        <v>91.5</v>
      </c>
      <c r="K585">
        <v>26.25</v>
      </c>
      <c r="L585">
        <v>68058.12</v>
      </c>
      <c r="M585">
        <v>48092.4</v>
      </c>
      <c r="N585">
        <v>37</v>
      </c>
      <c r="O585">
        <v>6.2120000000000002E-2</v>
      </c>
      <c r="P585">
        <v>6.5510000000000002</v>
      </c>
      <c r="Q585">
        <v>96.75</v>
      </c>
      <c r="R585">
        <v>129.17500000000001</v>
      </c>
      <c r="S585">
        <v>167.15</v>
      </c>
    </row>
    <row r="586" spans="1:19" x14ac:dyDescent="0.3">
      <c r="A586" s="2">
        <v>44741</v>
      </c>
      <c r="B586">
        <v>180.69</v>
      </c>
      <c r="C586">
        <v>269.37</v>
      </c>
      <c r="D586">
        <v>323.82</v>
      </c>
      <c r="E586">
        <v>354.25</v>
      </c>
      <c r="F586">
        <v>216.24</v>
      </c>
      <c r="G586">
        <v>109.78</v>
      </c>
      <c r="H586">
        <v>116.26</v>
      </c>
      <c r="I586">
        <v>113.02</v>
      </c>
      <c r="J586">
        <v>88.12</v>
      </c>
      <c r="K586">
        <v>22.65</v>
      </c>
      <c r="L586">
        <v>67747.41</v>
      </c>
      <c r="M586">
        <v>47577.07</v>
      </c>
      <c r="N586">
        <v>37.159999999999997</v>
      </c>
      <c r="O586">
        <v>6.1559999999999997E-2</v>
      </c>
      <c r="P586">
        <v>6.4980000000000002</v>
      </c>
      <c r="Q586">
        <v>96.41</v>
      </c>
      <c r="R586">
        <v>139.58799999999999</v>
      </c>
      <c r="S586">
        <v>161.30000000000001</v>
      </c>
    </row>
    <row r="587" spans="1:19" x14ac:dyDescent="0.3">
      <c r="A587" s="2">
        <v>44742</v>
      </c>
      <c r="B587">
        <v>180.69</v>
      </c>
      <c r="C587">
        <v>269.37</v>
      </c>
      <c r="D587">
        <v>323.82</v>
      </c>
      <c r="E587">
        <v>354.25</v>
      </c>
      <c r="F587">
        <v>216.24</v>
      </c>
      <c r="G587">
        <v>105.76</v>
      </c>
      <c r="H587">
        <v>114.81</v>
      </c>
      <c r="I587">
        <v>113.24</v>
      </c>
      <c r="J587">
        <v>85.64</v>
      </c>
      <c r="K587">
        <v>22.5</v>
      </c>
      <c r="L587">
        <v>66223.31</v>
      </c>
      <c r="M587">
        <v>47290.559999999998</v>
      </c>
      <c r="N587">
        <v>38.659999999999997</v>
      </c>
      <c r="O587">
        <v>6.1400000000000003E-2</v>
      </c>
      <c r="P587">
        <v>5.4240000000000004</v>
      </c>
      <c r="Q587">
        <v>94.04</v>
      </c>
      <c r="R587">
        <v>144.51499999999999</v>
      </c>
      <c r="S587">
        <v>158.75</v>
      </c>
    </row>
    <row r="588" spans="1:19" x14ac:dyDescent="0.3">
      <c r="A588" s="2">
        <v>44743</v>
      </c>
      <c r="B588">
        <v>155.08000000000001</v>
      </c>
      <c r="C588">
        <v>235.17</v>
      </c>
      <c r="D588">
        <v>301.85000000000002</v>
      </c>
      <c r="E588">
        <v>332.33</v>
      </c>
      <c r="F588">
        <v>215.96</v>
      </c>
      <c r="G588">
        <v>108.43</v>
      </c>
      <c r="H588">
        <v>111.63</v>
      </c>
      <c r="I588">
        <v>107.89</v>
      </c>
      <c r="J588">
        <v>87.55</v>
      </c>
      <c r="K588">
        <v>21.274702495201531</v>
      </c>
      <c r="L588">
        <v>65661.73</v>
      </c>
      <c r="M588">
        <v>46246.23</v>
      </c>
      <c r="N588">
        <v>38.674999999999997</v>
      </c>
      <c r="O588">
        <v>6.0940000000000001E-2</v>
      </c>
      <c r="P588">
        <v>5.73</v>
      </c>
      <c r="Q588">
        <v>95.23</v>
      </c>
      <c r="R588">
        <v>147.785</v>
      </c>
      <c r="S588">
        <v>159.75</v>
      </c>
    </row>
    <row r="589" spans="1:19" x14ac:dyDescent="0.3">
      <c r="A589" s="2">
        <v>44746</v>
      </c>
      <c r="B589">
        <v>155.08000000000001</v>
      </c>
      <c r="C589">
        <v>235.17</v>
      </c>
      <c r="D589">
        <v>301.85000000000002</v>
      </c>
      <c r="E589">
        <v>332.33</v>
      </c>
      <c r="F589">
        <v>215.96</v>
      </c>
      <c r="G589">
        <v>110.4</v>
      </c>
      <c r="H589">
        <v>113.5</v>
      </c>
      <c r="I589">
        <v>74.752492970946577</v>
      </c>
      <c r="J589">
        <v>80.871012183692585</v>
      </c>
      <c r="K589">
        <v>22.5</v>
      </c>
      <c r="L589">
        <v>67024.820000000007</v>
      </c>
      <c r="M589">
        <v>48397.02</v>
      </c>
      <c r="N589">
        <v>17.62252908067542</v>
      </c>
      <c r="O589">
        <v>6.1179999999999998E-2</v>
      </c>
      <c r="P589">
        <v>5.8529999999999998</v>
      </c>
      <c r="Q589">
        <v>112.7561105904405</v>
      </c>
      <c r="R589">
        <v>57.384855947955387</v>
      </c>
      <c r="S589">
        <v>158.75</v>
      </c>
    </row>
    <row r="590" spans="1:19" x14ac:dyDescent="0.3">
      <c r="A590" s="2">
        <v>44747</v>
      </c>
      <c r="B590">
        <v>155.08000000000001</v>
      </c>
      <c r="C590">
        <v>235.17</v>
      </c>
      <c r="D590">
        <v>301.85000000000002</v>
      </c>
      <c r="E590">
        <v>332.33</v>
      </c>
      <c r="F590">
        <v>215.96</v>
      </c>
      <c r="G590">
        <v>99.5</v>
      </c>
      <c r="H590">
        <v>102.77</v>
      </c>
      <c r="I590">
        <v>100.73</v>
      </c>
      <c r="J590">
        <v>84.81</v>
      </c>
      <c r="K590">
        <v>22.85</v>
      </c>
      <c r="L590">
        <v>65005.81</v>
      </c>
      <c r="M590">
        <v>45891.74</v>
      </c>
      <c r="N590">
        <v>40.094999999999999</v>
      </c>
      <c r="O590">
        <v>6.0470000000000003E-2</v>
      </c>
      <c r="P590">
        <v>5.5229999999999997</v>
      </c>
      <c r="Q590">
        <v>96.02</v>
      </c>
      <c r="R590">
        <v>165.07499999999999</v>
      </c>
      <c r="S590">
        <v>154.5</v>
      </c>
    </row>
    <row r="591" spans="1:19" x14ac:dyDescent="0.3">
      <c r="A591" s="2">
        <v>44748</v>
      </c>
      <c r="B591">
        <v>155.08000000000001</v>
      </c>
      <c r="C591">
        <v>235.17</v>
      </c>
      <c r="D591">
        <v>301.85000000000002</v>
      </c>
      <c r="E591">
        <v>332.33</v>
      </c>
      <c r="F591">
        <v>215.96</v>
      </c>
      <c r="G591">
        <v>98.53</v>
      </c>
      <c r="H591">
        <v>100.69</v>
      </c>
      <c r="I591">
        <v>98.98</v>
      </c>
      <c r="J591">
        <v>83.28</v>
      </c>
      <c r="K591">
        <v>21.75</v>
      </c>
      <c r="L591">
        <v>65756.36</v>
      </c>
      <c r="M591">
        <v>47514.16</v>
      </c>
      <c r="N591">
        <v>38.61</v>
      </c>
      <c r="O591">
        <v>5.9459999999999999E-2</v>
      </c>
      <c r="P591">
        <v>5.51</v>
      </c>
      <c r="Q591">
        <v>95.5</v>
      </c>
      <c r="R591">
        <v>171</v>
      </c>
      <c r="S591">
        <v>159.69999999999999</v>
      </c>
    </row>
    <row r="592" spans="1:19" x14ac:dyDescent="0.3">
      <c r="A592" s="2">
        <v>44749</v>
      </c>
      <c r="B592">
        <v>155.08000000000001</v>
      </c>
      <c r="C592">
        <v>235.17</v>
      </c>
      <c r="D592">
        <v>301.85000000000002</v>
      </c>
      <c r="E592">
        <v>332.33</v>
      </c>
      <c r="F592">
        <v>215.96</v>
      </c>
      <c r="G592">
        <v>102.73</v>
      </c>
      <c r="H592">
        <v>104.65</v>
      </c>
      <c r="I592">
        <v>102.02</v>
      </c>
      <c r="J592">
        <v>85.94</v>
      </c>
      <c r="K592">
        <v>21.9</v>
      </c>
      <c r="L592">
        <v>67909.289999999994</v>
      </c>
      <c r="M592">
        <v>47866.1</v>
      </c>
      <c r="N592">
        <v>39.57</v>
      </c>
      <c r="O592">
        <v>5.9819999999999998E-2</v>
      </c>
      <c r="P592">
        <v>6.2969999999999997</v>
      </c>
      <c r="Q592">
        <v>96.68</v>
      </c>
      <c r="R592">
        <v>183.185</v>
      </c>
      <c r="S592">
        <v>163.69999999999999</v>
      </c>
    </row>
    <row r="593" spans="1:19" x14ac:dyDescent="0.3">
      <c r="A593" s="2">
        <v>44750</v>
      </c>
      <c r="B593">
        <v>167.09</v>
      </c>
      <c r="C593">
        <v>251.57</v>
      </c>
      <c r="D593">
        <v>322.37</v>
      </c>
      <c r="E593">
        <v>348.09</v>
      </c>
      <c r="F593">
        <v>215.06</v>
      </c>
      <c r="G593">
        <v>104.79</v>
      </c>
      <c r="H593">
        <v>107.02</v>
      </c>
      <c r="I593">
        <v>104.22</v>
      </c>
      <c r="J593">
        <v>86.08</v>
      </c>
      <c r="K593">
        <v>22.3</v>
      </c>
      <c r="L593">
        <v>68327.399999999994</v>
      </c>
      <c r="M593">
        <v>49875.39</v>
      </c>
      <c r="N593">
        <v>39.384999999999998</v>
      </c>
      <c r="O593">
        <v>5.9249999999999997E-2</v>
      </c>
      <c r="P593">
        <v>6.0339999999999998</v>
      </c>
      <c r="Q593">
        <v>95.87</v>
      </c>
      <c r="R593">
        <v>175.21</v>
      </c>
      <c r="S593">
        <v>163.85</v>
      </c>
    </row>
    <row r="594" spans="1:19" x14ac:dyDescent="0.3">
      <c r="A594" s="2">
        <v>44753</v>
      </c>
      <c r="B594">
        <v>167.09</v>
      </c>
      <c r="C594">
        <v>251.57</v>
      </c>
      <c r="D594">
        <v>322.37</v>
      </c>
      <c r="E594">
        <v>348.09</v>
      </c>
      <c r="F594">
        <v>215.06</v>
      </c>
      <c r="G594">
        <v>104.09</v>
      </c>
      <c r="H594">
        <v>107.1</v>
      </c>
      <c r="I594">
        <v>104.28</v>
      </c>
      <c r="J594">
        <v>85.64</v>
      </c>
      <c r="K594">
        <v>21.85</v>
      </c>
      <c r="L594">
        <v>67226.75</v>
      </c>
      <c r="M594">
        <v>48452.73</v>
      </c>
      <c r="N594">
        <v>38.840000000000003</v>
      </c>
      <c r="O594">
        <v>5.8409999999999997E-2</v>
      </c>
      <c r="P594">
        <v>6.319</v>
      </c>
      <c r="Q594">
        <v>94.54</v>
      </c>
      <c r="R594">
        <v>164.52</v>
      </c>
      <c r="S594">
        <v>163.44999999999999</v>
      </c>
    </row>
    <row r="595" spans="1:19" x14ac:dyDescent="0.3">
      <c r="A595" s="2">
        <v>44754</v>
      </c>
      <c r="B595">
        <v>167.09</v>
      </c>
      <c r="C595">
        <v>251.57</v>
      </c>
      <c r="D595">
        <v>322.37</v>
      </c>
      <c r="E595">
        <v>348.09</v>
      </c>
      <c r="F595">
        <v>215.06</v>
      </c>
      <c r="G595">
        <v>95.84</v>
      </c>
      <c r="H595">
        <v>99.49</v>
      </c>
      <c r="I595">
        <v>99.14</v>
      </c>
      <c r="J595">
        <v>84.5</v>
      </c>
      <c r="K595">
        <v>21.85</v>
      </c>
      <c r="L595">
        <v>67163.710000000006</v>
      </c>
      <c r="M595">
        <v>46847.05</v>
      </c>
      <c r="N595">
        <v>38.630000000000003</v>
      </c>
      <c r="O595">
        <v>5.8700000000000002E-2</v>
      </c>
      <c r="P595">
        <v>6.0209999999999999</v>
      </c>
      <c r="Q595">
        <v>93.34</v>
      </c>
      <c r="R595">
        <v>172.61</v>
      </c>
      <c r="S595">
        <v>163</v>
      </c>
    </row>
    <row r="596" spans="1:19" x14ac:dyDescent="0.3">
      <c r="A596" s="2">
        <v>44755</v>
      </c>
      <c r="B596">
        <v>167.09</v>
      </c>
      <c r="C596">
        <v>251.57</v>
      </c>
      <c r="D596">
        <v>322.37</v>
      </c>
      <c r="E596">
        <v>348.09</v>
      </c>
      <c r="F596">
        <v>215.06</v>
      </c>
      <c r="G596">
        <v>96.3</v>
      </c>
      <c r="H596">
        <v>99.57</v>
      </c>
      <c r="I596">
        <v>100</v>
      </c>
      <c r="J596">
        <v>84.84</v>
      </c>
      <c r="K596">
        <v>21.85</v>
      </c>
      <c r="L596">
        <v>66142.69</v>
      </c>
      <c r="M596">
        <v>46644.9</v>
      </c>
      <c r="N596">
        <v>39.204999999999998</v>
      </c>
      <c r="O596">
        <v>5.91E-2</v>
      </c>
      <c r="P596">
        <v>6.5890000000000004</v>
      </c>
      <c r="Q596">
        <v>94.49</v>
      </c>
      <c r="R596">
        <v>180.505</v>
      </c>
      <c r="S596">
        <v>163.55000000000001</v>
      </c>
    </row>
    <row r="597" spans="1:19" x14ac:dyDescent="0.3">
      <c r="A597" s="2">
        <v>44756</v>
      </c>
      <c r="B597">
        <v>167.09</v>
      </c>
      <c r="C597">
        <v>251.57</v>
      </c>
      <c r="D597">
        <v>322.37</v>
      </c>
      <c r="E597">
        <v>348.09</v>
      </c>
      <c r="F597">
        <v>215.06</v>
      </c>
      <c r="G597">
        <v>95.78</v>
      </c>
      <c r="H597">
        <v>99.1</v>
      </c>
      <c r="I597">
        <v>99.7</v>
      </c>
      <c r="J597">
        <v>83.14</v>
      </c>
      <c r="K597">
        <v>22.05</v>
      </c>
      <c r="L597">
        <v>64712.88</v>
      </c>
      <c r="M597">
        <v>43361.33</v>
      </c>
      <c r="N597">
        <v>39.215000000000003</v>
      </c>
      <c r="O597">
        <v>5.8209999999999998E-2</v>
      </c>
      <c r="P597">
        <v>6.5110000000000001</v>
      </c>
      <c r="Q597">
        <v>93.62</v>
      </c>
      <c r="R597">
        <v>175.035</v>
      </c>
      <c r="S597">
        <v>162.15</v>
      </c>
    </row>
    <row r="598" spans="1:19" x14ac:dyDescent="0.3">
      <c r="A598" s="2">
        <v>44757</v>
      </c>
      <c r="B598">
        <v>163.97</v>
      </c>
      <c r="C598">
        <v>249.99</v>
      </c>
      <c r="D598">
        <v>317.43</v>
      </c>
      <c r="E598">
        <v>342.5</v>
      </c>
      <c r="F598">
        <v>214.23</v>
      </c>
      <c r="G598">
        <v>97.59</v>
      </c>
      <c r="H598">
        <v>101.16</v>
      </c>
      <c r="I598">
        <v>101.03</v>
      </c>
      <c r="J598">
        <v>84.54</v>
      </c>
      <c r="K598">
        <v>22.1</v>
      </c>
      <c r="L598">
        <v>65088.9</v>
      </c>
      <c r="M598">
        <v>42908.639999999999</v>
      </c>
      <c r="N598">
        <v>39.081000000000003</v>
      </c>
      <c r="O598">
        <v>5.8549999999999998E-2</v>
      </c>
      <c r="P598">
        <v>6.9260000000000002</v>
      </c>
      <c r="Q598">
        <v>95.83</v>
      </c>
      <c r="R598">
        <v>159.565</v>
      </c>
      <c r="S598">
        <v>163.1</v>
      </c>
    </row>
    <row r="599" spans="1:19" x14ac:dyDescent="0.3">
      <c r="A599" s="2">
        <v>44760</v>
      </c>
      <c r="B599">
        <v>163.97</v>
      </c>
      <c r="C599">
        <v>249.99</v>
      </c>
      <c r="D599">
        <v>317.43</v>
      </c>
      <c r="E599">
        <v>342.5</v>
      </c>
      <c r="F599">
        <v>214.23</v>
      </c>
      <c r="G599">
        <v>102.6</v>
      </c>
      <c r="H599">
        <v>106.27</v>
      </c>
      <c r="I599">
        <v>103.58</v>
      </c>
      <c r="J599">
        <v>86.1</v>
      </c>
      <c r="K599">
        <v>22.8</v>
      </c>
      <c r="L599">
        <v>67016.14</v>
      </c>
      <c r="M599">
        <v>44606.44</v>
      </c>
      <c r="N599">
        <v>36.594999999999999</v>
      </c>
      <c r="O599">
        <v>5.8380000000000001E-2</v>
      </c>
      <c r="P599">
        <v>7.3819999999999997</v>
      </c>
      <c r="Q599">
        <v>94.88</v>
      </c>
      <c r="R599">
        <v>157.26</v>
      </c>
      <c r="S599">
        <v>166.55</v>
      </c>
    </row>
    <row r="600" spans="1:19" x14ac:dyDescent="0.3">
      <c r="A600" s="2">
        <v>44761</v>
      </c>
      <c r="B600">
        <v>163.97</v>
      </c>
      <c r="C600">
        <v>249.99</v>
      </c>
      <c r="D600">
        <v>317.43</v>
      </c>
      <c r="E600">
        <v>342.5</v>
      </c>
      <c r="F600">
        <v>214.23</v>
      </c>
      <c r="G600">
        <v>104.22</v>
      </c>
      <c r="H600">
        <v>107.35</v>
      </c>
      <c r="I600">
        <v>103.78</v>
      </c>
      <c r="J600">
        <v>88.27</v>
      </c>
      <c r="K600">
        <v>22.85</v>
      </c>
      <c r="L600">
        <v>67785.039999999994</v>
      </c>
      <c r="M600">
        <v>44124.800000000003</v>
      </c>
      <c r="N600">
        <v>37.484999999999999</v>
      </c>
      <c r="O600">
        <v>5.849E-2</v>
      </c>
      <c r="P600">
        <v>7.15</v>
      </c>
      <c r="Q600">
        <v>96.81</v>
      </c>
      <c r="R600">
        <v>154.45500000000001</v>
      </c>
      <c r="S600">
        <v>165.25</v>
      </c>
    </row>
    <row r="601" spans="1:19" x14ac:dyDescent="0.3">
      <c r="A601" s="2">
        <v>44762</v>
      </c>
      <c r="B601">
        <v>163.97</v>
      </c>
      <c r="C601">
        <v>249.99</v>
      </c>
      <c r="D601">
        <v>317.43</v>
      </c>
      <c r="E601">
        <v>342.5</v>
      </c>
      <c r="F601">
        <v>214.23</v>
      </c>
      <c r="G601">
        <v>102.26</v>
      </c>
      <c r="H601">
        <v>106.92</v>
      </c>
      <c r="I601">
        <v>103.54</v>
      </c>
      <c r="J601">
        <v>89.24</v>
      </c>
      <c r="K601">
        <v>22.8</v>
      </c>
      <c r="L601">
        <v>67652.460000000006</v>
      </c>
      <c r="M601">
        <v>44004.43</v>
      </c>
      <c r="N601">
        <v>38.17</v>
      </c>
      <c r="O601">
        <v>5.8259999999999999E-2</v>
      </c>
      <c r="P601">
        <v>7.899</v>
      </c>
      <c r="Q601">
        <v>98.44</v>
      </c>
      <c r="R601">
        <v>155.04</v>
      </c>
      <c r="S601">
        <v>164.55</v>
      </c>
    </row>
    <row r="602" spans="1:19" x14ac:dyDescent="0.3">
      <c r="A602" s="2">
        <v>44763</v>
      </c>
      <c r="B602">
        <v>163.97</v>
      </c>
      <c r="C602">
        <v>249.99</v>
      </c>
      <c r="D602">
        <v>317.43</v>
      </c>
      <c r="E602">
        <v>342.5</v>
      </c>
      <c r="F602">
        <v>214.23</v>
      </c>
      <c r="G602">
        <v>96.35</v>
      </c>
      <c r="H602">
        <v>103.86</v>
      </c>
      <c r="I602">
        <v>102.55</v>
      </c>
      <c r="J602">
        <v>87.75</v>
      </c>
      <c r="K602">
        <v>21.7</v>
      </c>
      <c r="L602">
        <v>67907.240000000005</v>
      </c>
      <c r="M602">
        <v>43613.37</v>
      </c>
      <c r="N602">
        <v>38.094999999999999</v>
      </c>
      <c r="O602">
        <v>5.858E-2</v>
      </c>
      <c r="P602">
        <v>7.8150000000000004</v>
      </c>
      <c r="Q602">
        <v>99.47</v>
      </c>
      <c r="R602">
        <v>155.6</v>
      </c>
      <c r="S602">
        <v>163.44999999999999</v>
      </c>
    </row>
    <row r="603" spans="1:19" x14ac:dyDescent="0.3">
      <c r="A603" s="2">
        <v>44764</v>
      </c>
      <c r="B603">
        <v>144.63</v>
      </c>
      <c r="C603">
        <v>213.02</v>
      </c>
      <c r="D603">
        <v>285.76</v>
      </c>
      <c r="E603">
        <v>302.73</v>
      </c>
      <c r="F603">
        <v>225.35</v>
      </c>
      <c r="G603">
        <v>94.7</v>
      </c>
      <c r="H603">
        <v>103.2</v>
      </c>
      <c r="I603">
        <v>102.32</v>
      </c>
      <c r="J603">
        <v>87.08</v>
      </c>
      <c r="K603">
        <v>21.85</v>
      </c>
      <c r="L603">
        <v>68069.58</v>
      </c>
      <c r="M603">
        <v>45967.41</v>
      </c>
      <c r="N603">
        <v>38.99</v>
      </c>
      <c r="O603">
        <v>5.9360000000000003E-2</v>
      </c>
      <c r="P603">
        <v>8.1950000000000003</v>
      </c>
      <c r="Q603">
        <v>99.11</v>
      </c>
      <c r="R603">
        <v>159.86500000000001</v>
      </c>
      <c r="S603">
        <v>160.94999999999999</v>
      </c>
    </row>
    <row r="604" spans="1:19" x14ac:dyDescent="0.3">
      <c r="A604" s="2">
        <v>44767</v>
      </c>
      <c r="B604">
        <v>144.63</v>
      </c>
      <c r="C604">
        <v>213.02</v>
      </c>
      <c r="D604">
        <v>285.76</v>
      </c>
      <c r="E604">
        <v>302.73</v>
      </c>
      <c r="F604">
        <v>225.35</v>
      </c>
      <c r="G604">
        <v>96.7</v>
      </c>
      <c r="H604">
        <v>105.15</v>
      </c>
      <c r="I604">
        <v>102.63</v>
      </c>
      <c r="J604">
        <v>89.98</v>
      </c>
      <c r="K604">
        <v>22</v>
      </c>
      <c r="L604">
        <v>67749.789999999994</v>
      </c>
      <c r="M604">
        <v>44507.1</v>
      </c>
      <c r="N604">
        <v>39.39</v>
      </c>
      <c r="O604">
        <v>5.9490000000000001E-2</v>
      </c>
      <c r="P604">
        <v>8.5709999999999997</v>
      </c>
      <c r="Q604">
        <v>98.97</v>
      </c>
      <c r="R604">
        <v>176.61500000000001</v>
      </c>
      <c r="S604">
        <v>158.5</v>
      </c>
    </row>
    <row r="605" spans="1:19" x14ac:dyDescent="0.3">
      <c r="A605" s="2">
        <v>44768</v>
      </c>
      <c r="B605">
        <v>144.63</v>
      </c>
      <c r="C605">
        <v>213.02</v>
      </c>
      <c r="D605">
        <v>285.76</v>
      </c>
      <c r="E605">
        <v>302.73</v>
      </c>
      <c r="F605">
        <v>225.35</v>
      </c>
      <c r="G605">
        <v>94.98</v>
      </c>
      <c r="H605">
        <v>104.4</v>
      </c>
      <c r="I605">
        <v>102.66</v>
      </c>
      <c r="J605">
        <v>89.63</v>
      </c>
      <c r="K605">
        <v>22.6</v>
      </c>
      <c r="L605">
        <v>68421.8</v>
      </c>
      <c r="M605">
        <v>45560.45</v>
      </c>
      <c r="N605">
        <v>40.21</v>
      </c>
      <c r="O605">
        <v>5.8999999999999997E-2</v>
      </c>
      <c r="P605">
        <v>8.8249999999999993</v>
      </c>
      <c r="Q605">
        <v>97.64</v>
      </c>
      <c r="R605">
        <v>199.92</v>
      </c>
      <c r="S605">
        <v>154.15</v>
      </c>
    </row>
    <row r="606" spans="1:19" x14ac:dyDescent="0.3">
      <c r="A606" s="2">
        <v>44769</v>
      </c>
      <c r="B606">
        <v>144.63</v>
      </c>
      <c r="C606">
        <v>213.02</v>
      </c>
      <c r="D606">
        <v>285.76</v>
      </c>
      <c r="E606">
        <v>302.73</v>
      </c>
      <c r="F606">
        <v>225.35</v>
      </c>
      <c r="G606">
        <v>97.26</v>
      </c>
      <c r="H606">
        <v>106.62</v>
      </c>
      <c r="I606">
        <v>102.75</v>
      </c>
      <c r="J606">
        <v>91.57</v>
      </c>
      <c r="K606">
        <v>22.6</v>
      </c>
      <c r="L606">
        <v>68424.97</v>
      </c>
      <c r="M606">
        <v>45636.4</v>
      </c>
      <c r="N606">
        <v>43.13</v>
      </c>
      <c r="O606">
        <v>5.9839999999999997E-2</v>
      </c>
      <c r="P606">
        <v>8.5540000000000003</v>
      </c>
      <c r="Q606">
        <v>97.51</v>
      </c>
      <c r="R606">
        <v>205.22499999999999</v>
      </c>
      <c r="S606">
        <v>154.80000000000001</v>
      </c>
    </row>
    <row r="607" spans="1:19" x14ac:dyDescent="0.3">
      <c r="A607" s="2">
        <v>44770</v>
      </c>
      <c r="B607">
        <v>144.63</v>
      </c>
      <c r="C607">
        <v>213.02</v>
      </c>
      <c r="D607">
        <v>285.76</v>
      </c>
      <c r="E607">
        <v>302.73</v>
      </c>
      <c r="F607">
        <v>225.35</v>
      </c>
      <c r="G607">
        <v>96.42</v>
      </c>
      <c r="H607">
        <v>107.14</v>
      </c>
      <c r="I607">
        <v>102.8</v>
      </c>
      <c r="J607">
        <v>92.64</v>
      </c>
      <c r="K607">
        <v>22.65</v>
      </c>
      <c r="L607">
        <v>68610.75</v>
      </c>
      <c r="M607">
        <v>46292.2</v>
      </c>
      <c r="N607">
        <v>41.54</v>
      </c>
      <c r="O607">
        <v>6.062E-2</v>
      </c>
      <c r="P607">
        <v>8.1340000000000003</v>
      </c>
      <c r="Q607">
        <v>102.56</v>
      </c>
      <c r="R607">
        <v>198.93</v>
      </c>
      <c r="S607">
        <v>154.94999999999999</v>
      </c>
    </row>
    <row r="608" spans="1:19" x14ac:dyDescent="0.3">
      <c r="A608" s="2">
        <v>44771</v>
      </c>
      <c r="B608">
        <v>166.43</v>
      </c>
      <c r="C608">
        <v>239.95</v>
      </c>
      <c r="D608">
        <v>316.32</v>
      </c>
      <c r="E608">
        <v>321.62</v>
      </c>
      <c r="F608">
        <v>224.48</v>
      </c>
      <c r="G608">
        <v>98.62</v>
      </c>
      <c r="H608">
        <v>110.01</v>
      </c>
      <c r="I608">
        <v>103.12</v>
      </c>
      <c r="J608">
        <v>96.93</v>
      </c>
      <c r="K608">
        <v>22.15</v>
      </c>
      <c r="L608">
        <v>68934.009999999995</v>
      </c>
      <c r="M608">
        <v>47158.64</v>
      </c>
      <c r="N608">
        <v>42.225000000000001</v>
      </c>
      <c r="O608">
        <v>6.0049999999999999E-2</v>
      </c>
      <c r="P608">
        <v>8.2289999999999992</v>
      </c>
      <c r="Q608">
        <v>101.99</v>
      </c>
      <c r="R608">
        <v>190.91499999999999</v>
      </c>
      <c r="S608">
        <v>159.6</v>
      </c>
    </row>
    <row r="609" spans="1:19" x14ac:dyDescent="0.3">
      <c r="A609" s="2">
        <v>44774</v>
      </c>
      <c r="B609">
        <v>166.43</v>
      </c>
      <c r="C609">
        <v>239.95</v>
      </c>
      <c r="D609">
        <v>316.32</v>
      </c>
      <c r="E609">
        <v>321.62</v>
      </c>
      <c r="F609">
        <v>224.48</v>
      </c>
      <c r="G609">
        <v>93.89</v>
      </c>
      <c r="H609">
        <v>100.03</v>
      </c>
      <c r="I609">
        <v>97.87</v>
      </c>
      <c r="J609">
        <v>94.48</v>
      </c>
      <c r="K609">
        <v>22.2</v>
      </c>
      <c r="L609">
        <v>68642.59</v>
      </c>
      <c r="M609">
        <v>46999.56</v>
      </c>
      <c r="N609">
        <v>44.83</v>
      </c>
      <c r="O609">
        <v>6.0650000000000003E-2</v>
      </c>
      <c r="P609">
        <v>8.2829999999999995</v>
      </c>
      <c r="Q609">
        <v>100.4</v>
      </c>
      <c r="R609">
        <v>200.79499999999999</v>
      </c>
      <c r="S609">
        <v>166.8</v>
      </c>
    </row>
    <row r="610" spans="1:19" x14ac:dyDescent="0.3">
      <c r="A610" s="2">
        <v>44775</v>
      </c>
      <c r="B610">
        <v>166.43</v>
      </c>
      <c r="C610">
        <v>239.95</v>
      </c>
      <c r="D610">
        <v>316.32</v>
      </c>
      <c r="E610">
        <v>321.62</v>
      </c>
      <c r="F610">
        <v>224.48</v>
      </c>
      <c r="G610">
        <v>94.42</v>
      </c>
      <c r="H610">
        <v>100.54</v>
      </c>
      <c r="I610">
        <v>99.4</v>
      </c>
      <c r="J610">
        <v>94.07</v>
      </c>
      <c r="K610">
        <v>21.75</v>
      </c>
      <c r="L610">
        <v>68002.23</v>
      </c>
      <c r="M610">
        <v>47264.94</v>
      </c>
      <c r="N610">
        <v>45.28</v>
      </c>
      <c r="O610">
        <v>5.9389999999999998E-2</v>
      </c>
      <c r="P610">
        <v>7.7060000000000004</v>
      </c>
      <c r="Q610">
        <v>100.66</v>
      </c>
      <c r="R610">
        <v>205.17500000000001</v>
      </c>
      <c r="S610">
        <v>166.2</v>
      </c>
    </row>
    <row r="611" spans="1:19" x14ac:dyDescent="0.3">
      <c r="A611" s="2">
        <v>44776</v>
      </c>
      <c r="B611">
        <v>166.43</v>
      </c>
      <c r="C611">
        <v>239.95</v>
      </c>
      <c r="D611">
        <v>316.32</v>
      </c>
      <c r="E611">
        <v>321.62</v>
      </c>
      <c r="F611">
        <v>224.48</v>
      </c>
      <c r="G611">
        <v>90.66</v>
      </c>
      <c r="H611">
        <v>96.78</v>
      </c>
      <c r="I611">
        <v>95.97</v>
      </c>
      <c r="J611">
        <v>91.02</v>
      </c>
      <c r="K611">
        <v>21.7</v>
      </c>
      <c r="L611">
        <v>68610.570000000007</v>
      </c>
      <c r="M611">
        <v>46213.34</v>
      </c>
      <c r="N611">
        <v>45.95</v>
      </c>
      <c r="O611">
        <v>5.9659999999999998E-2</v>
      </c>
      <c r="P611">
        <v>8.266</v>
      </c>
      <c r="Q611">
        <v>103.02</v>
      </c>
      <c r="R611">
        <v>199.19499999999999</v>
      </c>
      <c r="S611">
        <v>166.35</v>
      </c>
    </row>
    <row r="612" spans="1:19" x14ac:dyDescent="0.3">
      <c r="A612" s="2">
        <v>44777</v>
      </c>
      <c r="B612">
        <v>166.43</v>
      </c>
      <c r="C612">
        <v>239.95</v>
      </c>
      <c r="D612">
        <v>316.32</v>
      </c>
      <c r="E612">
        <v>321.62</v>
      </c>
      <c r="F612">
        <v>224.48</v>
      </c>
      <c r="G612">
        <v>88.54</v>
      </c>
      <c r="H612">
        <v>94.12</v>
      </c>
      <c r="I612">
        <v>94.08</v>
      </c>
      <c r="J612">
        <v>87.19</v>
      </c>
      <c r="K612">
        <v>21.8</v>
      </c>
      <c r="L612">
        <v>68717.02</v>
      </c>
      <c r="M612">
        <v>46269.38</v>
      </c>
      <c r="N612">
        <v>44.604999999999997</v>
      </c>
      <c r="O612">
        <v>6.0159999999999998E-2</v>
      </c>
      <c r="P612">
        <v>8.1219999999999999</v>
      </c>
      <c r="Q612">
        <v>107.44</v>
      </c>
      <c r="R612">
        <v>199.25</v>
      </c>
      <c r="S612">
        <v>163.30000000000001</v>
      </c>
    </row>
    <row r="613" spans="1:19" x14ac:dyDescent="0.3">
      <c r="A613" s="2">
        <v>44778</v>
      </c>
      <c r="B613">
        <v>142.01</v>
      </c>
      <c r="C613">
        <v>210.93</v>
      </c>
      <c r="D613">
        <v>278.17</v>
      </c>
      <c r="E613">
        <v>319.38</v>
      </c>
      <c r="F613">
        <v>219.98</v>
      </c>
      <c r="G613">
        <v>89.01</v>
      </c>
      <c r="H613">
        <v>94.92</v>
      </c>
      <c r="I613">
        <v>94.41</v>
      </c>
      <c r="J613">
        <v>88.45</v>
      </c>
      <c r="K613">
        <v>21.45</v>
      </c>
      <c r="L613">
        <v>69519.27</v>
      </c>
      <c r="M613">
        <v>47378.42</v>
      </c>
      <c r="N613">
        <v>44.66</v>
      </c>
      <c r="O613">
        <v>5.9580000000000001E-2</v>
      </c>
      <c r="P613">
        <v>8.0640000000000001</v>
      </c>
      <c r="Q613">
        <v>105.02</v>
      </c>
      <c r="R613">
        <v>196.32</v>
      </c>
      <c r="S613">
        <v>165.5</v>
      </c>
    </row>
    <row r="614" spans="1:19" x14ac:dyDescent="0.3">
      <c r="A614" s="2">
        <v>44781</v>
      </c>
      <c r="B614">
        <v>142.01</v>
      </c>
      <c r="C614">
        <v>210.93</v>
      </c>
      <c r="D614">
        <v>278.17</v>
      </c>
      <c r="E614">
        <v>319.38</v>
      </c>
      <c r="F614">
        <v>219.98</v>
      </c>
      <c r="G614">
        <v>90.76</v>
      </c>
      <c r="H614">
        <v>96.65</v>
      </c>
      <c r="I614">
        <v>96.04</v>
      </c>
      <c r="J614">
        <v>88.95</v>
      </c>
      <c r="K614">
        <v>21.8</v>
      </c>
      <c r="L614">
        <v>70266.13</v>
      </c>
      <c r="M614">
        <v>49550.720000000001</v>
      </c>
      <c r="N614">
        <v>44.47</v>
      </c>
      <c r="O614">
        <v>6.0159999999999998E-2</v>
      </c>
      <c r="P614">
        <v>7.5890000000000004</v>
      </c>
      <c r="Q614">
        <v>104.3</v>
      </c>
      <c r="R614">
        <v>193.05500000000001</v>
      </c>
      <c r="S614">
        <v>165.9</v>
      </c>
    </row>
    <row r="615" spans="1:19" x14ac:dyDescent="0.3">
      <c r="A615" s="2">
        <v>44782</v>
      </c>
      <c r="B615">
        <v>142.01</v>
      </c>
      <c r="C615">
        <v>210.93</v>
      </c>
      <c r="D615">
        <v>278.17</v>
      </c>
      <c r="E615">
        <v>319.38</v>
      </c>
      <c r="F615">
        <v>219.98</v>
      </c>
      <c r="G615">
        <v>90.5</v>
      </c>
      <c r="H615">
        <v>96.31</v>
      </c>
      <c r="I615">
        <v>95.97</v>
      </c>
      <c r="J615">
        <v>90.59</v>
      </c>
      <c r="K615">
        <v>22.55</v>
      </c>
      <c r="L615">
        <v>68736.904810964072</v>
      </c>
      <c r="M615">
        <v>52972.178374291107</v>
      </c>
      <c r="N615">
        <v>44.62</v>
      </c>
      <c r="O615">
        <v>6.0220000000000003E-2</v>
      </c>
      <c r="P615">
        <v>7.8330000000000002</v>
      </c>
      <c r="Q615">
        <v>104.91</v>
      </c>
      <c r="R615">
        <v>192.185</v>
      </c>
      <c r="S615">
        <v>141.61602674307539</v>
      </c>
    </row>
    <row r="616" spans="1:19" x14ac:dyDescent="0.3">
      <c r="A616" s="2">
        <v>44783</v>
      </c>
      <c r="B616">
        <v>142.01</v>
      </c>
      <c r="C616">
        <v>210.93</v>
      </c>
      <c r="D616">
        <v>278.17</v>
      </c>
      <c r="E616">
        <v>319.38</v>
      </c>
      <c r="F616">
        <v>219.98</v>
      </c>
      <c r="G616">
        <v>91.93</v>
      </c>
      <c r="H616">
        <v>97.4</v>
      </c>
      <c r="I616">
        <v>96.87</v>
      </c>
      <c r="J616">
        <v>91.45</v>
      </c>
      <c r="K616">
        <v>22.4</v>
      </c>
      <c r="L616">
        <v>69744.899999999994</v>
      </c>
      <c r="M616">
        <v>49245.85</v>
      </c>
      <c r="N616">
        <v>44.71</v>
      </c>
      <c r="O616">
        <v>6.182E-2</v>
      </c>
      <c r="P616">
        <v>8.202</v>
      </c>
      <c r="Q616">
        <v>106.05</v>
      </c>
      <c r="R616">
        <v>205.36500000000001</v>
      </c>
      <c r="S616">
        <v>165</v>
      </c>
    </row>
    <row r="617" spans="1:19" x14ac:dyDescent="0.3">
      <c r="A617" s="2">
        <v>44784</v>
      </c>
      <c r="B617">
        <v>142.01</v>
      </c>
      <c r="C617">
        <v>210.93</v>
      </c>
      <c r="D617">
        <v>278.17</v>
      </c>
      <c r="E617">
        <v>319.38</v>
      </c>
      <c r="F617">
        <v>219.98</v>
      </c>
      <c r="G617">
        <v>94.34</v>
      </c>
      <c r="H617">
        <v>99.6</v>
      </c>
      <c r="I617">
        <v>98.18</v>
      </c>
      <c r="J617">
        <v>93.19</v>
      </c>
      <c r="K617">
        <v>22.55</v>
      </c>
      <c r="L617">
        <v>71264.77</v>
      </c>
      <c r="M617">
        <v>49703.41</v>
      </c>
      <c r="N617">
        <v>45.335000000000001</v>
      </c>
      <c r="O617">
        <v>6.1420000000000002E-2</v>
      </c>
      <c r="P617">
        <v>8.8740000000000006</v>
      </c>
      <c r="Q617">
        <v>106.63</v>
      </c>
      <c r="R617">
        <v>208.11</v>
      </c>
      <c r="S617">
        <v>163.80000000000001</v>
      </c>
    </row>
    <row r="618" spans="1:19" x14ac:dyDescent="0.3">
      <c r="A618" s="2">
        <v>44785</v>
      </c>
      <c r="B618">
        <v>135.46</v>
      </c>
      <c r="C618">
        <v>211.07</v>
      </c>
      <c r="D618">
        <v>279.91000000000003</v>
      </c>
      <c r="E618">
        <v>303.62</v>
      </c>
      <c r="F618">
        <v>222.25</v>
      </c>
      <c r="G618">
        <v>92.09</v>
      </c>
      <c r="H618">
        <v>98.15</v>
      </c>
      <c r="I618">
        <v>96.48</v>
      </c>
      <c r="J618">
        <v>94</v>
      </c>
      <c r="K618">
        <v>22.75</v>
      </c>
      <c r="L618">
        <v>70731.320000000007</v>
      </c>
      <c r="M618">
        <v>48424.59</v>
      </c>
      <c r="N618">
        <v>45.39</v>
      </c>
      <c r="O618">
        <v>6.1539999999999997E-2</v>
      </c>
      <c r="P618">
        <v>8.7680000000000007</v>
      </c>
      <c r="Q618">
        <v>109.68</v>
      </c>
      <c r="R618">
        <v>206.11</v>
      </c>
      <c r="S618">
        <v>165.15</v>
      </c>
    </row>
    <row r="619" spans="1:19" x14ac:dyDescent="0.3">
      <c r="A619" s="2">
        <v>44788</v>
      </c>
      <c r="B619">
        <v>135.46</v>
      </c>
      <c r="C619">
        <v>211.07</v>
      </c>
      <c r="D619">
        <v>279.91000000000003</v>
      </c>
      <c r="E619">
        <v>303.62</v>
      </c>
      <c r="F619">
        <v>222.25</v>
      </c>
      <c r="G619">
        <v>89.41</v>
      </c>
      <c r="H619">
        <v>95.1</v>
      </c>
      <c r="I619">
        <v>94.97</v>
      </c>
      <c r="J619">
        <v>92.32</v>
      </c>
      <c r="K619">
        <v>22.7</v>
      </c>
      <c r="L619">
        <v>70740.63</v>
      </c>
      <c r="M619">
        <v>47755.85</v>
      </c>
      <c r="N619">
        <v>45.442999999999998</v>
      </c>
      <c r="O619">
        <v>6.0749999999999998E-2</v>
      </c>
      <c r="P619">
        <v>8.7279999999999998</v>
      </c>
      <c r="Q619">
        <v>109.6</v>
      </c>
      <c r="R619">
        <v>220.11</v>
      </c>
      <c r="S619">
        <v>141.61602674307539</v>
      </c>
    </row>
    <row r="620" spans="1:19" x14ac:dyDescent="0.3">
      <c r="A620" s="2">
        <v>44789</v>
      </c>
      <c r="B620">
        <v>135.46</v>
      </c>
      <c r="C620">
        <v>211.07</v>
      </c>
      <c r="D620">
        <v>279.91000000000003</v>
      </c>
      <c r="E620">
        <v>303.62</v>
      </c>
      <c r="F620">
        <v>222.25</v>
      </c>
      <c r="G620">
        <v>86.53</v>
      </c>
      <c r="H620">
        <v>92.34</v>
      </c>
      <c r="I620">
        <v>93.46</v>
      </c>
      <c r="J620">
        <v>91.46</v>
      </c>
      <c r="K620">
        <v>22.8</v>
      </c>
      <c r="L620">
        <v>71504.69</v>
      </c>
      <c r="M620">
        <v>48631.38</v>
      </c>
      <c r="N620">
        <v>56.715000000000003</v>
      </c>
      <c r="O620">
        <v>6.1030000000000001E-2</v>
      </c>
      <c r="P620">
        <v>9.3290000000000006</v>
      </c>
      <c r="Q620">
        <v>111.06</v>
      </c>
      <c r="R620">
        <v>225.91499999999999</v>
      </c>
      <c r="S620">
        <v>171.85</v>
      </c>
    </row>
    <row r="621" spans="1:19" x14ac:dyDescent="0.3">
      <c r="A621" s="2">
        <v>44790</v>
      </c>
      <c r="B621">
        <v>135.46</v>
      </c>
      <c r="C621">
        <v>211.07</v>
      </c>
      <c r="D621">
        <v>279.91000000000003</v>
      </c>
      <c r="E621">
        <v>303.62</v>
      </c>
      <c r="F621">
        <v>222.25</v>
      </c>
      <c r="G621">
        <v>88.11</v>
      </c>
      <c r="H621">
        <v>93.65</v>
      </c>
      <c r="I621">
        <v>94.04</v>
      </c>
      <c r="J621">
        <v>92.2</v>
      </c>
      <c r="K621">
        <v>22.95</v>
      </c>
      <c r="L621">
        <v>70967.350000000006</v>
      </c>
      <c r="M621">
        <v>47533.71</v>
      </c>
      <c r="N621">
        <v>56.82</v>
      </c>
      <c r="O621">
        <v>6.003E-2</v>
      </c>
      <c r="P621">
        <v>9.2439999999999998</v>
      </c>
      <c r="Q621">
        <v>111.7</v>
      </c>
      <c r="R621">
        <v>225.83500000000001</v>
      </c>
      <c r="S621">
        <v>172.6</v>
      </c>
    </row>
    <row r="622" spans="1:19" x14ac:dyDescent="0.3">
      <c r="A622" s="2">
        <v>44791</v>
      </c>
      <c r="B622">
        <v>135.46</v>
      </c>
      <c r="C622">
        <v>211.07</v>
      </c>
      <c r="D622">
        <v>279.91000000000003</v>
      </c>
      <c r="E622">
        <v>303.62</v>
      </c>
      <c r="F622">
        <v>222.25</v>
      </c>
      <c r="G622">
        <v>90.5</v>
      </c>
      <c r="H622">
        <v>96.59</v>
      </c>
      <c r="I622">
        <v>95.18</v>
      </c>
      <c r="J622">
        <v>94.38</v>
      </c>
      <c r="K622">
        <v>22.85</v>
      </c>
      <c r="L622">
        <v>71011.38</v>
      </c>
      <c r="M622">
        <v>47273.33</v>
      </c>
      <c r="N622">
        <v>57.6</v>
      </c>
      <c r="O622">
        <v>5.926E-2</v>
      </c>
      <c r="P622">
        <v>9.1880000000000006</v>
      </c>
      <c r="Q622">
        <v>112.62</v>
      </c>
      <c r="R622">
        <v>241.005</v>
      </c>
      <c r="S622">
        <v>166.35</v>
      </c>
    </row>
    <row r="623" spans="1:19" x14ac:dyDescent="0.3">
      <c r="A623" s="2">
        <v>44792</v>
      </c>
      <c r="B623">
        <v>161.43</v>
      </c>
      <c r="C623">
        <v>244.45</v>
      </c>
      <c r="D623">
        <v>314.10000000000002</v>
      </c>
      <c r="E623">
        <v>346.77</v>
      </c>
      <c r="F623">
        <v>210.12</v>
      </c>
      <c r="G623">
        <v>90.77</v>
      </c>
      <c r="H623">
        <v>96.72</v>
      </c>
      <c r="I623">
        <v>95.39</v>
      </c>
      <c r="J623">
        <v>94.08</v>
      </c>
      <c r="K623">
        <v>23.5</v>
      </c>
      <c r="L623">
        <v>69719.429999999993</v>
      </c>
      <c r="M623">
        <v>45649.97</v>
      </c>
      <c r="N623">
        <v>57.02</v>
      </c>
      <c r="O623">
        <v>5.8779999999999999E-2</v>
      </c>
      <c r="P623">
        <v>9.3360000000000003</v>
      </c>
      <c r="Q623">
        <v>109.09</v>
      </c>
      <c r="R623">
        <v>244.55</v>
      </c>
      <c r="S623">
        <v>163.75</v>
      </c>
    </row>
    <row r="624" spans="1:19" x14ac:dyDescent="0.3">
      <c r="A624" s="2">
        <v>44795</v>
      </c>
      <c r="B624">
        <v>161.43</v>
      </c>
      <c r="C624">
        <v>244.45</v>
      </c>
      <c r="D624">
        <v>314.10000000000002</v>
      </c>
      <c r="E624">
        <v>346.77</v>
      </c>
      <c r="F624">
        <v>210.12</v>
      </c>
      <c r="G624">
        <v>90.23</v>
      </c>
      <c r="H624">
        <v>95.81</v>
      </c>
      <c r="I624">
        <v>95.39</v>
      </c>
      <c r="J624">
        <v>94.01</v>
      </c>
      <c r="K624">
        <v>24</v>
      </c>
      <c r="L624">
        <v>69195.600000000006</v>
      </c>
      <c r="M624">
        <v>45481.99</v>
      </c>
      <c r="N624">
        <v>57.82</v>
      </c>
      <c r="O624">
        <v>5.8790000000000002E-2</v>
      </c>
      <c r="P624">
        <v>9.6470000000000002</v>
      </c>
      <c r="Q624">
        <v>107.83</v>
      </c>
      <c r="R624">
        <v>276.75</v>
      </c>
      <c r="S624">
        <v>157.1</v>
      </c>
    </row>
    <row r="625" spans="1:19" x14ac:dyDescent="0.3">
      <c r="A625" s="2">
        <v>44796</v>
      </c>
      <c r="B625">
        <v>161.43</v>
      </c>
      <c r="C625">
        <v>244.45</v>
      </c>
      <c r="D625">
        <v>314.10000000000002</v>
      </c>
      <c r="E625">
        <v>346.77</v>
      </c>
      <c r="F625">
        <v>210.12</v>
      </c>
      <c r="G625">
        <v>93.74</v>
      </c>
      <c r="H625">
        <v>99.17</v>
      </c>
      <c r="I625">
        <v>96.41</v>
      </c>
      <c r="J625">
        <v>98</v>
      </c>
      <c r="K625">
        <v>24.5</v>
      </c>
      <c r="L625">
        <v>69772.27</v>
      </c>
      <c r="M625">
        <v>46511.48</v>
      </c>
      <c r="N625">
        <v>56.33</v>
      </c>
      <c r="O625">
        <v>5.883E-2</v>
      </c>
      <c r="P625">
        <v>9.1549999999999994</v>
      </c>
      <c r="Q625">
        <v>106.45</v>
      </c>
      <c r="R625">
        <v>269.05</v>
      </c>
      <c r="S625">
        <v>157.9</v>
      </c>
    </row>
    <row r="626" spans="1:19" x14ac:dyDescent="0.3">
      <c r="A626" s="2">
        <v>44797</v>
      </c>
      <c r="B626">
        <v>161.43</v>
      </c>
      <c r="C626">
        <v>244.45</v>
      </c>
      <c r="D626">
        <v>314.10000000000002</v>
      </c>
      <c r="E626">
        <v>346.77</v>
      </c>
      <c r="F626">
        <v>210.12</v>
      </c>
      <c r="G626">
        <v>94.89</v>
      </c>
      <c r="H626">
        <v>100.34</v>
      </c>
      <c r="I626">
        <v>96.46</v>
      </c>
      <c r="J626">
        <v>98.58</v>
      </c>
      <c r="K626">
        <v>24.6</v>
      </c>
      <c r="L626">
        <v>69808.710000000006</v>
      </c>
      <c r="M626">
        <v>46719.16</v>
      </c>
      <c r="N626">
        <v>66.254999999999995</v>
      </c>
      <c r="O626">
        <v>5.885E-2</v>
      </c>
      <c r="P626">
        <v>9.3000000000000007</v>
      </c>
      <c r="Q626">
        <v>106.92</v>
      </c>
      <c r="R626">
        <v>292.14999999999998</v>
      </c>
      <c r="S626">
        <v>159.85</v>
      </c>
    </row>
    <row r="627" spans="1:19" x14ac:dyDescent="0.3">
      <c r="A627" s="2">
        <v>44798</v>
      </c>
      <c r="B627">
        <v>161.43</v>
      </c>
      <c r="C627">
        <v>244.45</v>
      </c>
      <c r="D627">
        <v>314.10000000000002</v>
      </c>
      <c r="E627">
        <v>346.77</v>
      </c>
      <c r="F627">
        <v>210.12</v>
      </c>
      <c r="G627">
        <v>92.52</v>
      </c>
      <c r="H627">
        <v>98.46</v>
      </c>
      <c r="I627">
        <v>96.23</v>
      </c>
      <c r="J627">
        <v>99.09</v>
      </c>
      <c r="K627">
        <v>25.75</v>
      </c>
      <c r="L627">
        <v>70340.7</v>
      </c>
      <c r="M627">
        <v>47369.18</v>
      </c>
      <c r="N627">
        <v>69.954999999999998</v>
      </c>
      <c r="O627">
        <v>5.9619999999999999E-2</v>
      </c>
      <c r="P627">
        <v>9.375</v>
      </c>
      <c r="Q627">
        <v>107.01</v>
      </c>
      <c r="R627">
        <v>321.41500000000002</v>
      </c>
      <c r="S627">
        <v>159.1</v>
      </c>
    </row>
    <row r="628" spans="1:19" x14ac:dyDescent="0.3">
      <c r="A628" s="2">
        <v>44799</v>
      </c>
      <c r="B628">
        <v>156.81</v>
      </c>
      <c r="C628">
        <v>250.45</v>
      </c>
      <c r="D628">
        <v>317.77</v>
      </c>
      <c r="E628">
        <v>361.63</v>
      </c>
      <c r="F628">
        <v>214.47</v>
      </c>
      <c r="G628">
        <v>93.06</v>
      </c>
      <c r="H628">
        <v>99.01</v>
      </c>
      <c r="I628">
        <v>96.53</v>
      </c>
      <c r="J628">
        <v>97.87</v>
      </c>
      <c r="K628">
        <v>25.55</v>
      </c>
      <c r="L628">
        <v>70173.09</v>
      </c>
      <c r="M628">
        <v>47665.19</v>
      </c>
      <c r="N628">
        <v>68.8</v>
      </c>
      <c r="O628">
        <v>5.9209999999999999E-2</v>
      </c>
      <c r="P628">
        <v>9.2959999999999994</v>
      </c>
      <c r="Q628">
        <v>103.59</v>
      </c>
      <c r="R628">
        <v>339.19499999999999</v>
      </c>
      <c r="S628">
        <v>159.44999999999999</v>
      </c>
    </row>
    <row r="629" spans="1:19" x14ac:dyDescent="0.3">
      <c r="A629" s="2">
        <v>44802</v>
      </c>
      <c r="B629">
        <v>87.953183520599239</v>
      </c>
      <c r="C629">
        <v>113.3531554307116</v>
      </c>
      <c r="D629">
        <v>134.97180711610491</v>
      </c>
      <c r="E629">
        <v>144.35149446494461</v>
      </c>
      <c r="F629">
        <v>123.75970973782771</v>
      </c>
      <c r="G629">
        <v>97.01</v>
      </c>
      <c r="H629">
        <v>102.93</v>
      </c>
      <c r="I629">
        <v>96.88</v>
      </c>
      <c r="J629">
        <v>100.12</v>
      </c>
      <c r="K629">
        <v>25.55</v>
      </c>
      <c r="L629">
        <v>69207.02</v>
      </c>
      <c r="M629">
        <v>45543.48</v>
      </c>
      <c r="N629">
        <v>68.665000000000006</v>
      </c>
      <c r="O629">
        <v>5.9360000000000003E-2</v>
      </c>
      <c r="P629">
        <v>9.3529999999999998</v>
      </c>
      <c r="Q629">
        <v>101.59</v>
      </c>
      <c r="R629">
        <v>272.60500000000002</v>
      </c>
      <c r="S629">
        <v>158.05000000000001</v>
      </c>
    </row>
    <row r="630" spans="1:19" x14ac:dyDescent="0.3">
      <c r="A630" s="2">
        <v>44803</v>
      </c>
      <c r="B630">
        <v>156.81</v>
      </c>
      <c r="C630">
        <v>250.45</v>
      </c>
      <c r="D630">
        <v>317.77</v>
      </c>
      <c r="E630">
        <v>361.63</v>
      </c>
      <c r="F630">
        <v>214.47</v>
      </c>
      <c r="G630">
        <v>91.64</v>
      </c>
      <c r="H630">
        <v>97.84</v>
      </c>
      <c r="I630">
        <v>96.51</v>
      </c>
      <c r="J630">
        <v>96.31</v>
      </c>
      <c r="K630">
        <v>25.05</v>
      </c>
      <c r="L630">
        <v>67900.479999999996</v>
      </c>
      <c r="M630">
        <v>43857.9</v>
      </c>
      <c r="N630">
        <v>58.744999999999997</v>
      </c>
      <c r="O630">
        <v>5.8860000000000003E-2</v>
      </c>
      <c r="P630">
        <v>9.0419999999999998</v>
      </c>
      <c r="Q630">
        <v>100.51</v>
      </c>
      <c r="R630">
        <v>252.93700000000001</v>
      </c>
      <c r="S630">
        <v>161</v>
      </c>
    </row>
    <row r="631" spans="1:19" x14ac:dyDescent="0.3">
      <c r="A631" s="2">
        <v>44804</v>
      </c>
      <c r="B631">
        <v>156.81</v>
      </c>
      <c r="C631">
        <v>250.45</v>
      </c>
      <c r="D631">
        <v>317.77</v>
      </c>
      <c r="E631">
        <v>361.63</v>
      </c>
      <c r="F631">
        <v>214.47</v>
      </c>
      <c r="G631">
        <v>89.55</v>
      </c>
      <c r="H631">
        <v>96.49</v>
      </c>
      <c r="I631">
        <v>96.6</v>
      </c>
      <c r="J631">
        <v>95.59</v>
      </c>
      <c r="K631">
        <v>24.7</v>
      </c>
      <c r="L631">
        <v>67257.14</v>
      </c>
      <c r="M631">
        <v>44157.42</v>
      </c>
      <c r="N631">
        <v>53.95</v>
      </c>
      <c r="O631">
        <v>5.8400000000000001E-2</v>
      </c>
      <c r="P631">
        <v>9.1270000000000007</v>
      </c>
      <c r="Q631">
        <v>100.85</v>
      </c>
      <c r="R631">
        <v>239.905</v>
      </c>
      <c r="S631">
        <v>141.61602674307539</v>
      </c>
    </row>
    <row r="632" spans="1:19" x14ac:dyDescent="0.3">
      <c r="A632" s="2">
        <v>44805</v>
      </c>
      <c r="B632">
        <v>156.81</v>
      </c>
      <c r="C632">
        <v>250.45</v>
      </c>
      <c r="D632">
        <v>317.77</v>
      </c>
      <c r="E632">
        <v>361.63</v>
      </c>
      <c r="F632">
        <v>214.47</v>
      </c>
      <c r="G632">
        <v>86.61</v>
      </c>
      <c r="H632">
        <v>92.36</v>
      </c>
      <c r="I632">
        <v>92.08</v>
      </c>
      <c r="J632">
        <v>93.87</v>
      </c>
      <c r="K632">
        <v>24.95</v>
      </c>
      <c r="L632">
        <v>66021.710000000006</v>
      </c>
      <c r="M632">
        <v>42165.48</v>
      </c>
      <c r="N632">
        <v>59.155000000000001</v>
      </c>
      <c r="O632">
        <v>5.7849999999999999E-2</v>
      </c>
      <c r="P632">
        <v>9.2620000000000005</v>
      </c>
      <c r="Q632">
        <v>102.04</v>
      </c>
      <c r="R632">
        <v>243.005</v>
      </c>
      <c r="S632">
        <v>160.19999999999999</v>
      </c>
    </row>
    <row r="633" spans="1:19" x14ac:dyDescent="0.3">
      <c r="A633" s="2">
        <v>44806</v>
      </c>
      <c r="B633">
        <v>149.02000000000001</v>
      </c>
      <c r="C633">
        <v>245.77</v>
      </c>
      <c r="D633">
        <v>313.05</v>
      </c>
      <c r="E633">
        <v>335.58</v>
      </c>
      <c r="F633">
        <v>223.82</v>
      </c>
      <c r="G633">
        <v>86.87</v>
      </c>
      <c r="H633">
        <v>93.02</v>
      </c>
      <c r="I633">
        <v>92.6</v>
      </c>
      <c r="J633">
        <v>95.59</v>
      </c>
      <c r="K633">
        <v>24.8</v>
      </c>
      <c r="L633">
        <v>67378.31</v>
      </c>
      <c r="M633">
        <v>44022.06</v>
      </c>
      <c r="N633">
        <v>55.244999999999997</v>
      </c>
      <c r="O633">
        <v>5.7750000000000003E-2</v>
      </c>
      <c r="P633">
        <v>8.7859999999999996</v>
      </c>
      <c r="Q633">
        <v>101.28</v>
      </c>
      <c r="R633">
        <v>214.66499999999999</v>
      </c>
      <c r="S633">
        <v>158</v>
      </c>
    </row>
    <row r="634" spans="1:19" x14ac:dyDescent="0.3">
      <c r="A634" s="2">
        <v>44809</v>
      </c>
      <c r="B634">
        <v>149.02000000000001</v>
      </c>
      <c r="C634">
        <v>245.77</v>
      </c>
      <c r="D634">
        <v>313.05</v>
      </c>
      <c r="E634">
        <v>335.58</v>
      </c>
      <c r="F634">
        <v>223.82</v>
      </c>
      <c r="G634">
        <v>88.96</v>
      </c>
      <c r="H634">
        <v>95.74</v>
      </c>
      <c r="I634">
        <v>74.752492970946577</v>
      </c>
      <c r="J634">
        <v>80.871012183692585</v>
      </c>
      <c r="K634">
        <v>25.75</v>
      </c>
      <c r="L634">
        <v>67399.39</v>
      </c>
      <c r="M634">
        <v>44650.51</v>
      </c>
      <c r="N634">
        <v>17.62252908067542</v>
      </c>
      <c r="O634">
        <v>5.824E-2</v>
      </c>
      <c r="P634">
        <v>8.7140000000000004</v>
      </c>
      <c r="Q634">
        <v>112.7561105904405</v>
      </c>
      <c r="R634">
        <v>57.384855947955387</v>
      </c>
      <c r="S634">
        <v>160.65</v>
      </c>
    </row>
    <row r="635" spans="1:19" x14ac:dyDescent="0.3">
      <c r="A635" s="2">
        <v>44810</v>
      </c>
      <c r="B635">
        <v>149.02000000000001</v>
      </c>
      <c r="C635">
        <v>245.77</v>
      </c>
      <c r="D635">
        <v>313.05</v>
      </c>
      <c r="E635">
        <v>335.58</v>
      </c>
      <c r="F635">
        <v>223.82</v>
      </c>
      <c r="G635">
        <v>86.88</v>
      </c>
      <c r="H635">
        <v>92.83</v>
      </c>
      <c r="I635">
        <v>93.13</v>
      </c>
      <c r="J635">
        <v>94.95</v>
      </c>
      <c r="K635">
        <v>26.05</v>
      </c>
      <c r="L635">
        <v>67538.77</v>
      </c>
      <c r="M635">
        <v>44380.34</v>
      </c>
      <c r="N635">
        <v>54.69</v>
      </c>
      <c r="O635">
        <v>5.781E-2</v>
      </c>
      <c r="P635">
        <v>8.1449999999999996</v>
      </c>
      <c r="Q635">
        <v>99.91</v>
      </c>
      <c r="R635">
        <v>239.84</v>
      </c>
      <c r="S635">
        <v>159.4</v>
      </c>
    </row>
    <row r="636" spans="1:19" x14ac:dyDescent="0.3">
      <c r="A636" s="2">
        <v>44811</v>
      </c>
      <c r="B636">
        <v>149.02000000000001</v>
      </c>
      <c r="C636">
        <v>245.77</v>
      </c>
      <c r="D636">
        <v>313.05</v>
      </c>
      <c r="E636">
        <v>335.58</v>
      </c>
      <c r="F636">
        <v>223.82</v>
      </c>
      <c r="G636">
        <v>81.94</v>
      </c>
      <c r="H636">
        <v>88</v>
      </c>
      <c r="I636">
        <v>89.36</v>
      </c>
      <c r="J636">
        <v>94.14</v>
      </c>
      <c r="K636">
        <v>25.75</v>
      </c>
      <c r="L636">
        <v>66715.83</v>
      </c>
      <c r="M636">
        <v>44443.06</v>
      </c>
      <c r="N636">
        <v>55.2</v>
      </c>
      <c r="O636">
        <v>5.7840000000000003E-2</v>
      </c>
      <c r="P636">
        <v>7.8419999999999996</v>
      </c>
      <c r="Q636">
        <v>102.3</v>
      </c>
      <c r="R636">
        <v>213.88499999999999</v>
      </c>
      <c r="S636">
        <v>158.69999999999999</v>
      </c>
    </row>
    <row r="637" spans="1:19" x14ac:dyDescent="0.3">
      <c r="A637" s="2">
        <v>44812</v>
      </c>
      <c r="B637">
        <v>149.02000000000001</v>
      </c>
      <c r="C637">
        <v>245.77</v>
      </c>
      <c r="D637">
        <v>313.05</v>
      </c>
      <c r="E637">
        <v>335.58</v>
      </c>
      <c r="F637">
        <v>223.82</v>
      </c>
      <c r="G637">
        <v>83.54</v>
      </c>
      <c r="H637">
        <v>88.62</v>
      </c>
      <c r="I637">
        <v>90.17</v>
      </c>
      <c r="J637">
        <v>94.91</v>
      </c>
      <c r="K637">
        <v>25.25</v>
      </c>
      <c r="L637">
        <v>67260.23</v>
      </c>
      <c r="M637">
        <v>44893.34</v>
      </c>
      <c r="N637">
        <v>52.835000000000001</v>
      </c>
      <c r="O637">
        <v>5.7070000000000003E-2</v>
      </c>
      <c r="P637">
        <v>7.9539999999999997</v>
      </c>
      <c r="Q637">
        <v>103.21</v>
      </c>
      <c r="R637">
        <v>220.54</v>
      </c>
      <c r="S637">
        <v>160</v>
      </c>
    </row>
    <row r="638" spans="1:19" x14ac:dyDescent="0.3">
      <c r="A638" s="2">
        <v>44813</v>
      </c>
      <c r="B638">
        <v>146.72999999999999</v>
      </c>
      <c r="C638">
        <v>239.97</v>
      </c>
      <c r="D638">
        <v>305.48</v>
      </c>
      <c r="E638">
        <v>324.56</v>
      </c>
      <c r="F638">
        <v>213.11</v>
      </c>
      <c r="G638">
        <v>86.79</v>
      </c>
      <c r="H638">
        <v>92.84</v>
      </c>
      <c r="I638">
        <v>92.78</v>
      </c>
      <c r="J638">
        <v>96.5</v>
      </c>
      <c r="K638">
        <v>25.7</v>
      </c>
      <c r="L638">
        <v>68708.479999999996</v>
      </c>
      <c r="M638">
        <v>46097.71</v>
      </c>
      <c r="N638">
        <v>53.9</v>
      </c>
      <c r="O638">
        <v>5.7750000000000003E-2</v>
      </c>
      <c r="P638">
        <v>7.9960000000000004</v>
      </c>
      <c r="Q638">
        <v>103.4</v>
      </c>
      <c r="R638">
        <v>207.09</v>
      </c>
      <c r="S638">
        <v>159.4</v>
      </c>
    </row>
    <row r="639" spans="1:19" x14ac:dyDescent="0.3">
      <c r="A639" s="2">
        <v>44816</v>
      </c>
      <c r="B639">
        <v>146.72999999999999</v>
      </c>
      <c r="C639">
        <v>239.97</v>
      </c>
      <c r="D639">
        <v>305.48</v>
      </c>
      <c r="E639">
        <v>324.56</v>
      </c>
      <c r="F639">
        <v>213.11</v>
      </c>
      <c r="G639">
        <v>87.78</v>
      </c>
      <c r="H639">
        <v>94</v>
      </c>
      <c r="I639">
        <v>93.36</v>
      </c>
      <c r="J639">
        <v>97.61</v>
      </c>
      <c r="K639">
        <v>21.274702495201531</v>
      </c>
      <c r="L639">
        <v>69772.41</v>
      </c>
      <c r="M639">
        <v>47063.040000000001</v>
      </c>
      <c r="N639">
        <v>53.125</v>
      </c>
      <c r="O639">
        <v>5.8369999999999998E-2</v>
      </c>
      <c r="P639">
        <v>8.2490000000000006</v>
      </c>
      <c r="Q639">
        <v>104.09</v>
      </c>
      <c r="R639">
        <v>190.59</v>
      </c>
      <c r="S639">
        <v>163.1</v>
      </c>
    </row>
    <row r="640" spans="1:19" x14ac:dyDescent="0.3">
      <c r="A640" s="2">
        <v>44817</v>
      </c>
      <c r="B640">
        <v>146.72999999999999</v>
      </c>
      <c r="C640">
        <v>239.97</v>
      </c>
      <c r="D640">
        <v>305.48</v>
      </c>
      <c r="E640">
        <v>324.56</v>
      </c>
      <c r="F640">
        <v>213.11</v>
      </c>
      <c r="G640">
        <v>87.31</v>
      </c>
      <c r="H640">
        <v>93.17</v>
      </c>
      <c r="I640">
        <v>92.51</v>
      </c>
      <c r="J640">
        <v>95.33</v>
      </c>
      <c r="K640">
        <v>25.8</v>
      </c>
      <c r="L640">
        <v>68273.710000000006</v>
      </c>
      <c r="M640">
        <v>45774.69</v>
      </c>
      <c r="N640">
        <v>53.034999999999997</v>
      </c>
      <c r="O640">
        <v>5.7270000000000001E-2</v>
      </c>
      <c r="P640">
        <v>8.2840000000000007</v>
      </c>
      <c r="Q640">
        <v>99.86</v>
      </c>
      <c r="R640">
        <v>198.61</v>
      </c>
      <c r="S640">
        <v>163.05000000000001</v>
      </c>
    </row>
    <row r="641" spans="1:19" x14ac:dyDescent="0.3">
      <c r="A641" s="2">
        <v>44818</v>
      </c>
      <c r="B641">
        <v>146.72999999999999</v>
      </c>
      <c r="C641">
        <v>239.97</v>
      </c>
      <c r="D641">
        <v>305.48</v>
      </c>
      <c r="E641">
        <v>324.56</v>
      </c>
      <c r="F641">
        <v>213.11</v>
      </c>
      <c r="G641">
        <v>88.48</v>
      </c>
      <c r="H641">
        <v>94.1</v>
      </c>
      <c r="I641">
        <v>93.35</v>
      </c>
      <c r="J641">
        <v>97.67</v>
      </c>
      <c r="K641">
        <v>25.7</v>
      </c>
      <c r="L641">
        <v>67964.02</v>
      </c>
      <c r="M641">
        <v>45917.78</v>
      </c>
      <c r="N641">
        <v>53.075000000000003</v>
      </c>
      <c r="O641">
        <v>5.7200000000000001E-2</v>
      </c>
      <c r="P641">
        <v>9.1140000000000008</v>
      </c>
      <c r="Q641">
        <v>99.86</v>
      </c>
      <c r="R641">
        <v>217.88</v>
      </c>
      <c r="S641">
        <v>163.19999999999999</v>
      </c>
    </row>
    <row r="642" spans="1:19" x14ac:dyDescent="0.3">
      <c r="A642" s="2">
        <v>44819</v>
      </c>
      <c r="B642">
        <v>146.72999999999999</v>
      </c>
      <c r="C642">
        <v>239.97</v>
      </c>
      <c r="D642">
        <v>305.48</v>
      </c>
      <c r="E642">
        <v>324.56</v>
      </c>
      <c r="F642">
        <v>213.11</v>
      </c>
      <c r="G642">
        <v>85.1</v>
      </c>
      <c r="H642">
        <v>90.84</v>
      </c>
      <c r="I642">
        <v>91.98</v>
      </c>
      <c r="J642">
        <v>94.83</v>
      </c>
      <c r="K642">
        <v>25.7</v>
      </c>
      <c r="L642">
        <v>67568.259999999995</v>
      </c>
      <c r="M642">
        <v>45033.36</v>
      </c>
      <c r="N642">
        <v>53.508000000000003</v>
      </c>
      <c r="O642">
        <v>5.6860000000000001E-2</v>
      </c>
      <c r="P642">
        <v>8.3239999999999998</v>
      </c>
      <c r="Q642">
        <v>98.39</v>
      </c>
      <c r="R642">
        <v>214.285</v>
      </c>
      <c r="S642">
        <v>162.6</v>
      </c>
    </row>
    <row r="643" spans="1:19" x14ac:dyDescent="0.3">
      <c r="A643" s="2">
        <v>44820</v>
      </c>
      <c r="B643">
        <v>131.83000000000001</v>
      </c>
      <c r="C643">
        <v>205.34</v>
      </c>
      <c r="D643">
        <v>268.75</v>
      </c>
      <c r="E643">
        <v>281.10000000000002</v>
      </c>
      <c r="F643">
        <v>211.47</v>
      </c>
      <c r="G643">
        <v>85.11</v>
      </c>
      <c r="H643">
        <v>91.35</v>
      </c>
      <c r="I643">
        <v>92.26</v>
      </c>
      <c r="J643">
        <v>93.21</v>
      </c>
      <c r="K643">
        <v>24.55</v>
      </c>
      <c r="L643">
        <v>66584.34</v>
      </c>
      <c r="M643">
        <v>44562.81</v>
      </c>
      <c r="N643">
        <v>42.16</v>
      </c>
      <c r="O643">
        <v>5.6739999999999999E-2</v>
      </c>
      <c r="P643">
        <v>7.7640000000000002</v>
      </c>
      <c r="Q643">
        <v>97.27</v>
      </c>
      <c r="R643">
        <v>187.79499999999999</v>
      </c>
      <c r="S643">
        <v>156.85</v>
      </c>
    </row>
    <row r="644" spans="1:19" x14ac:dyDescent="0.3">
      <c r="A644" s="2">
        <v>44823</v>
      </c>
      <c r="B644">
        <v>87.953183520599239</v>
      </c>
      <c r="C644">
        <v>113.3531554307116</v>
      </c>
      <c r="D644">
        <v>134.97180711610491</v>
      </c>
      <c r="E644">
        <v>144.35149446494461</v>
      </c>
      <c r="F644">
        <v>123.75970973782771</v>
      </c>
      <c r="G644">
        <v>85.73</v>
      </c>
      <c r="H644">
        <v>92</v>
      </c>
      <c r="I644">
        <v>92.46</v>
      </c>
      <c r="J644">
        <v>93.2</v>
      </c>
      <c r="K644">
        <v>24.55</v>
      </c>
      <c r="L644">
        <v>66474.86</v>
      </c>
      <c r="M644">
        <v>44380.31</v>
      </c>
      <c r="N644">
        <v>41.97</v>
      </c>
      <c r="O644">
        <v>5.6550000000000003E-2</v>
      </c>
      <c r="P644">
        <v>7.7519999999999998</v>
      </c>
      <c r="Q644">
        <v>97.02</v>
      </c>
      <c r="R644">
        <v>182.26</v>
      </c>
      <c r="S644">
        <v>152.94999999999999</v>
      </c>
    </row>
    <row r="645" spans="1:19" x14ac:dyDescent="0.3">
      <c r="A645" s="2">
        <v>44824</v>
      </c>
      <c r="B645">
        <v>131.83000000000001</v>
      </c>
      <c r="C645">
        <v>205.34</v>
      </c>
      <c r="D645">
        <v>268.75</v>
      </c>
      <c r="E645">
        <v>281.10000000000002</v>
      </c>
      <c r="F645">
        <v>211.47</v>
      </c>
      <c r="G645">
        <v>84.45</v>
      </c>
      <c r="H645">
        <v>89.4</v>
      </c>
      <c r="I645">
        <v>91.9</v>
      </c>
      <c r="J645">
        <v>92.44</v>
      </c>
      <c r="K645">
        <v>24.65</v>
      </c>
      <c r="L645">
        <v>66602.84</v>
      </c>
      <c r="M645">
        <v>44017.11</v>
      </c>
      <c r="N645">
        <v>43.284999999999997</v>
      </c>
      <c r="O645">
        <v>5.6500000000000002E-2</v>
      </c>
      <c r="P645">
        <v>7.7720000000000002</v>
      </c>
      <c r="Q645">
        <v>94.85</v>
      </c>
      <c r="R645">
        <v>194.26</v>
      </c>
      <c r="S645">
        <v>153.25</v>
      </c>
    </row>
    <row r="646" spans="1:19" x14ac:dyDescent="0.3">
      <c r="A646" s="2">
        <v>44825</v>
      </c>
      <c r="B646">
        <v>131.83000000000001</v>
      </c>
      <c r="C646">
        <v>205.34</v>
      </c>
      <c r="D646">
        <v>268.75</v>
      </c>
      <c r="E646">
        <v>281.10000000000002</v>
      </c>
      <c r="F646">
        <v>211.47</v>
      </c>
      <c r="G646">
        <v>82.94</v>
      </c>
      <c r="H646">
        <v>88.8</v>
      </c>
      <c r="I646">
        <v>91.81</v>
      </c>
      <c r="J646">
        <v>90.95</v>
      </c>
      <c r="K646">
        <v>24.5</v>
      </c>
      <c r="L646">
        <v>66208.710000000006</v>
      </c>
      <c r="M646">
        <v>43316.160000000003</v>
      </c>
      <c r="N646">
        <v>38.914999999999999</v>
      </c>
      <c r="O646">
        <v>5.6329999999999998E-2</v>
      </c>
      <c r="P646">
        <v>7.827</v>
      </c>
      <c r="Q646">
        <v>93.61</v>
      </c>
      <c r="R646">
        <v>189.78</v>
      </c>
      <c r="S646">
        <v>151.1</v>
      </c>
    </row>
    <row r="647" spans="1:19" x14ac:dyDescent="0.3">
      <c r="A647" s="2">
        <v>44826</v>
      </c>
      <c r="B647">
        <v>131.83000000000001</v>
      </c>
      <c r="C647">
        <v>205.34</v>
      </c>
      <c r="D647">
        <v>268.75</v>
      </c>
      <c r="E647">
        <v>281.10000000000002</v>
      </c>
      <c r="F647">
        <v>211.47</v>
      </c>
      <c r="G647">
        <v>83.49</v>
      </c>
      <c r="H647">
        <v>89.53</v>
      </c>
      <c r="I647">
        <v>92.18</v>
      </c>
      <c r="J647">
        <v>90.57</v>
      </c>
      <c r="K647">
        <v>24.75</v>
      </c>
      <c r="L647">
        <v>65276.97</v>
      </c>
      <c r="M647">
        <v>43287.51</v>
      </c>
      <c r="N647">
        <v>39.909999999999997</v>
      </c>
      <c r="O647">
        <v>5.6820000000000002E-2</v>
      </c>
      <c r="P647">
        <v>7.1929999999999996</v>
      </c>
      <c r="Q647">
        <v>94.06</v>
      </c>
      <c r="R647">
        <v>187.47</v>
      </c>
      <c r="S647">
        <v>151.94999999999999</v>
      </c>
    </row>
    <row r="648" spans="1:19" x14ac:dyDescent="0.3">
      <c r="A648" s="2">
        <v>44827</v>
      </c>
      <c r="B648">
        <v>123.13</v>
      </c>
      <c r="C648">
        <v>199.2</v>
      </c>
      <c r="D648">
        <v>259.31</v>
      </c>
      <c r="E648">
        <v>269.06</v>
      </c>
      <c r="F648">
        <v>207.46</v>
      </c>
      <c r="G648">
        <v>78.739999999999995</v>
      </c>
      <c r="H648">
        <v>85.03</v>
      </c>
      <c r="I648">
        <v>91.02</v>
      </c>
      <c r="J648">
        <v>85.75</v>
      </c>
      <c r="K648">
        <v>23.9</v>
      </c>
      <c r="L648">
        <v>63416.66</v>
      </c>
      <c r="M648">
        <v>40308.720000000001</v>
      </c>
      <c r="N648">
        <v>37.57</v>
      </c>
      <c r="O648">
        <v>5.5870000000000003E-2</v>
      </c>
      <c r="P648">
        <v>6.992</v>
      </c>
      <c r="Q648">
        <v>93.24</v>
      </c>
      <c r="R648">
        <v>185.495</v>
      </c>
      <c r="S648">
        <v>147.1</v>
      </c>
    </row>
    <row r="649" spans="1:19" x14ac:dyDescent="0.3">
      <c r="A649" s="2">
        <v>44830</v>
      </c>
      <c r="B649">
        <v>123.13</v>
      </c>
      <c r="C649">
        <v>199.2</v>
      </c>
      <c r="D649">
        <v>259.31</v>
      </c>
      <c r="E649">
        <v>269.06</v>
      </c>
      <c r="F649">
        <v>207.46</v>
      </c>
      <c r="G649">
        <v>76.709999999999994</v>
      </c>
      <c r="H649">
        <v>82.86</v>
      </c>
      <c r="I649">
        <v>90.5</v>
      </c>
      <c r="J649">
        <v>83.98</v>
      </c>
      <c r="K649">
        <v>23.25</v>
      </c>
      <c r="L649">
        <v>63625.66</v>
      </c>
      <c r="M649">
        <v>41015.279999999999</v>
      </c>
      <c r="N649">
        <v>37.69</v>
      </c>
      <c r="O649">
        <v>5.5259999999999997E-2</v>
      </c>
      <c r="P649">
        <v>7.0140000000000002</v>
      </c>
      <c r="Q649">
        <v>91.59</v>
      </c>
      <c r="R649">
        <v>173.83500000000001</v>
      </c>
      <c r="S649">
        <v>142.75</v>
      </c>
    </row>
    <row r="650" spans="1:19" x14ac:dyDescent="0.3">
      <c r="A650" s="2">
        <v>44831</v>
      </c>
      <c r="B650">
        <v>123.13</v>
      </c>
      <c r="C650">
        <v>199.2</v>
      </c>
      <c r="D650">
        <v>259.31</v>
      </c>
      <c r="E650">
        <v>269.06</v>
      </c>
      <c r="F650">
        <v>207.46</v>
      </c>
      <c r="G650">
        <v>78.5</v>
      </c>
      <c r="H650">
        <v>84.87</v>
      </c>
      <c r="I650">
        <v>90.72</v>
      </c>
      <c r="J650">
        <v>85.74</v>
      </c>
      <c r="K650">
        <v>23.35</v>
      </c>
      <c r="L650">
        <v>64025.95</v>
      </c>
      <c r="M650">
        <v>41840.14</v>
      </c>
      <c r="N650">
        <v>42.47</v>
      </c>
      <c r="O650">
        <v>5.5480000000000002E-2</v>
      </c>
      <c r="P650">
        <v>6.76</v>
      </c>
      <c r="Q650">
        <v>91.5</v>
      </c>
      <c r="R650">
        <v>186.1</v>
      </c>
      <c r="S650">
        <v>141.69999999999999</v>
      </c>
    </row>
    <row r="651" spans="1:19" x14ac:dyDescent="0.3">
      <c r="A651" s="2">
        <v>44832</v>
      </c>
      <c r="B651">
        <v>123.13</v>
      </c>
      <c r="C651">
        <v>199.2</v>
      </c>
      <c r="D651">
        <v>259.31</v>
      </c>
      <c r="E651">
        <v>269.06</v>
      </c>
      <c r="F651">
        <v>207.46</v>
      </c>
      <c r="G651">
        <v>82.15</v>
      </c>
      <c r="H651">
        <v>89.32</v>
      </c>
      <c r="I651">
        <v>90.9</v>
      </c>
      <c r="J651">
        <v>88.86</v>
      </c>
      <c r="K651">
        <v>22.7</v>
      </c>
      <c r="L651">
        <v>63808.32</v>
      </c>
      <c r="M651">
        <v>42934.8</v>
      </c>
      <c r="N651">
        <v>41.204999999999998</v>
      </c>
      <c r="O651">
        <v>5.5989999999999998E-2</v>
      </c>
      <c r="P651">
        <v>6.8680000000000003</v>
      </c>
      <c r="Q651">
        <v>93.05</v>
      </c>
      <c r="R651">
        <v>207.185</v>
      </c>
      <c r="S651">
        <v>140.55000000000001</v>
      </c>
    </row>
    <row r="652" spans="1:19" x14ac:dyDescent="0.3">
      <c r="A652" s="2">
        <v>44833</v>
      </c>
      <c r="B652">
        <v>123.13</v>
      </c>
      <c r="C652">
        <v>199.2</v>
      </c>
      <c r="D652">
        <v>259.31</v>
      </c>
      <c r="E652">
        <v>269.06</v>
      </c>
      <c r="F652">
        <v>207.46</v>
      </c>
      <c r="G652">
        <v>81.23</v>
      </c>
      <c r="H652">
        <v>88.49</v>
      </c>
      <c r="I652">
        <v>90.81</v>
      </c>
      <c r="J652">
        <v>88.68</v>
      </c>
      <c r="K652">
        <v>23.05</v>
      </c>
      <c r="L652">
        <v>63263.94</v>
      </c>
      <c r="M652">
        <v>44522.52</v>
      </c>
      <c r="N652">
        <v>39.104999999999997</v>
      </c>
      <c r="O652">
        <v>5.5500000000000001E-2</v>
      </c>
      <c r="P652">
        <v>6.8739999999999997</v>
      </c>
      <c r="Q652">
        <v>90.75</v>
      </c>
      <c r="R652">
        <v>187.66499999999999</v>
      </c>
      <c r="S652">
        <v>139.75</v>
      </c>
    </row>
    <row r="653" spans="1:19" x14ac:dyDescent="0.3">
      <c r="A653" s="2">
        <v>44834</v>
      </c>
      <c r="B653">
        <v>137.4</v>
      </c>
      <c r="C653">
        <v>209.12</v>
      </c>
      <c r="D653">
        <v>269.39</v>
      </c>
      <c r="E653">
        <v>267.5</v>
      </c>
      <c r="F653">
        <v>183.88</v>
      </c>
      <c r="G653">
        <v>79.489999999999995</v>
      </c>
      <c r="H653">
        <v>87.96</v>
      </c>
      <c r="I653">
        <v>90.91</v>
      </c>
      <c r="J653">
        <v>87.31</v>
      </c>
      <c r="K653">
        <v>23.45</v>
      </c>
      <c r="L653">
        <v>63726.37</v>
      </c>
      <c r="M653">
        <v>45555.99</v>
      </c>
      <c r="N653">
        <v>38.725000000000001</v>
      </c>
      <c r="O653">
        <v>5.5059999999999998E-2</v>
      </c>
      <c r="P653">
        <v>6.766</v>
      </c>
      <c r="Q653">
        <v>90.35</v>
      </c>
      <c r="R653">
        <v>188.8</v>
      </c>
      <c r="S653">
        <v>142.05000000000001</v>
      </c>
    </row>
    <row r="654" spans="1:19" x14ac:dyDescent="0.3">
      <c r="A654" s="2">
        <v>44837</v>
      </c>
      <c r="B654">
        <v>137.4</v>
      </c>
      <c r="C654">
        <v>209.12</v>
      </c>
      <c r="D654">
        <v>269.39</v>
      </c>
      <c r="E654">
        <v>267.5</v>
      </c>
      <c r="F654">
        <v>183.88</v>
      </c>
      <c r="G654">
        <v>83.63</v>
      </c>
      <c r="H654">
        <v>88.86</v>
      </c>
      <c r="I654">
        <v>88.03</v>
      </c>
      <c r="J654">
        <v>91.92</v>
      </c>
      <c r="K654">
        <v>23.35</v>
      </c>
      <c r="L654">
        <v>64227.23</v>
      </c>
      <c r="M654">
        <v>46013.49</v>
      </c>
      <c r="N654">
        <v>38.869999999999997</v>
      </c>
      <c r="O654">
        <v>5.602E-2</v>
      </c>
      <c r="P654">
        <v>6.47</v>
      </c>
      <c r="Q654">
        <v>92.82</v>
      </c>
      <c r="R654">
        <v>169.91</v>
      </c>
      <c r="S654">
        <v>139.9</v>
      </c>
    </row>
    <row r="655" spans="1:19" x14ac:dyDescent="0.3">
      <c r="A655" s="2">
        <v>44838</v>
      </c>
      <c r="B655">
        <v>137.4</v>
      </c>
      <c r="C655">
        <v>209.12</v>
      </c>
      <c r="D655">
        <v>269.39</v>
      </c>
      <c r="E655">
        <v>267.5</v>
      </c>
      <c r="F655">
        <v>183.88</v>
      </c>
      <c r="G655">
        <v>86.52</v>
      </c>
      <c r="H655">
        <v>91.8</v>
      </c>
      <c r="I655">
        <v>90.9</v>
      </c>
      <c r="J655">
        <v>95.27</v>
      </c>
      <c r="K655">
        <v>21.274702495201531</v>
      </c>
      <c r="L655">
        <v>66312.83</v>
      </c>
      <c r="M655">
        <v>49331.97</v>
      </c>
      <c r="N655">
        <v>38.195</v>
      </c>
      <c r="O655">
        <v>5.6669999999999998E-2</v>
      </c>
      <c r="P655">
        <v>6.8369999999999997</v>
      </c>
      <c r="Q655">
        <v>94.16</v>
      </c>
      <c r="R655">
        <v>161.94999999999999</v>
      </c>
      <c r="S655">
        <v>143.5</v>
      </c>
    </row>
    <row r="656" spans="1:19" x14ac:dyDescent="0.3">
      <c r="A656" s="2">
        <v>44839</v>
      </c>
      <c r="B656">
        <v>137.4</v>
      </c>
      <c r="C656">
        <v>209.12</v>
      </c>
      <c r="D656">
        <v>269.39</v>
      </c>
      <c r="E656">
        <v>267.5</v>
      </c>
      <c r="F656">
        <v>183.88</v>
      </c>
      <c r="G656">
        <v>87.76</v>
      </c>
      <c r="H656">
        <v>93.37</v>
      </c>
      <c r="I656">
        <v>92.12</v>
      </c>
      <c r="J656">
        <v>99.12</v>
      </c>
      <c r="K656">
        <v>23.8</v>
      </c>
      <c r="L656">
        <v>65612.759999999995</v>
      </c>
      <c r="M656">
        <v>48616.47</v>
      </c>
      <c r="N656">
        <v>35.049999999999997</v>
      </c>
      <c r="O656">
        <v>5.62E-2</v>
      </c>
      <c r="P656">
        <v>6.93</v>
      </c>
      <c r="Q656">
        <v>93.41</v>
      </c>
      <c r="R656">
        <v>173.69499999999999</v>
      </c>
      <c r="S656">
        <v>141.61602674307539</v>
      </c>
    </row>
    <row r="657" spans="1:19" x14ac:dyDescent="0.3">
      <c r="A657" s="2">
        <v>44840</v>
      </c>
      <c r="B657">
        <v>137.4</v>
      </c>
      <c r="C657">
        <v>209.12</v>
      </c>
      <c r="D657">
        <v>269.39</v>
      </c>
      <c r="E657">
        <v>267.5</v>
      </c>
      <c r="F657">
        <v>183.88</v>
      </c>
      <c r="G657">
        <v>88.45</v>
      </c>
      <c r="H657">
        <v>94.42</v>
      </c>
      <c r="I657">
        <v>92.98</v>
      </c>
      <c r="J657">
        <v>102.06</v>
      </c>
      <c r="K657">
        <v>23.95</v>
      </c>
      <c r="L657">
        <v>65832.67</v>
      </c>
      <c r="M657">
        <v>49436.91</v>
      </c>
      <c r="N657">
        <v>35.854999999999997</v>
      </c>
      <c r="O657">
        <v>5.5570000000000001E-2</v>
      </c>
      <c r="P657">
        <v>6.9720000000000004</v>
      </c>
      <c r="Q657">
        <v>93.35</v>
      </c>
      <c r="R657">
        <v>175.71</v>
      </c>
      <c r="S657">
        <v>145.80000000000001</v>
      </c>
    </row>
    <row r="658" spans="1:19" x14ac:dyDescent="0.3">
      <c r="A658" s="2">
        <v>44841</v>
      </c>
      <c r="B658">
        <v>133.80000000000001</v>
      </c>
      <c r="C658">
        <v>194.27</v>
      </c>
      <c r="D658">
        <v>251.91</v>
      </c>
      <c r="E658">
        <v>252.2</v>
      </c>
      <c r="F658">
        <v>190.43</v>
      </c>
      <c r="G658">
        <v>92.64</v>
      </c>
      <c r="H658">
        <v>97.92</v>
      </c>
      <c r="I658">
        <v>95.8</v>
      </c>
      <c r="J658">
        <v>101.03</v>
      </c>
      <c r="K658">
        <v>23.75</v>
      </c>
      <c r="L658">
        <v>65675.48</v>
      </c>
      <c r="M658">
        <v>48966.41</v>
      </c>
      <c r="N658">
        <v>34.46</v>
      </c>
      <c r="O658">
        <v>5.5129999999999998E-2</v>
      </c>
      <c r="P658">
        <v>6.7480000000000002</v>
      </c>
      <c r="Q658">
        <v>90.02</v>
      </c>
      <c r="R658">
        <v>156.20500000000001</v>
      </c>
      <c r="S658">
        <v>146.05000000000001</v>
      </c>
    </row>
    <row r="659" spans="1:19" x14ac:dyDescent="0.3">
      <c r="A659" s="2">
        <v>44844</v>
      </c>
      <c r="B659">
        <v>133.80000000000001</v>
      </c>
      <c r="C659">
        <v>194.27</v>
      </c>
      <c r="D659">
        <v>251.91</v>
      </c>
      <c r="E659">
        <v>252.2</v>
      </c>
      <c r="F659">
        <v>190.43</v>
      </c>
      <c r="G659">
        <v>91.13</v>
      </c>
      <c r="H659">
        <v>96.19</v>
      </c>
      <c r="I659">
        <v>94.42</v>
      </c>
      <c r="J659">
        <v>98.84</v>
      </c>
      <c r="K659">
        <v>23.55</v>
      </c>
      <c r="L659">
        <v>64769.2</v>
      </c>
      <c r="M659">
        <v>47318.96</v>
      </c>
      <c r="N659">
        <v>34.26</v>
      </c>
      <c r="O659">
        <v>5.5239999999999997E-2</v>
      </c>
      <c r="P659">
        <v>6.4349999999999996</v>
      </c>
      <c r="Q659">
        <v>90.26</v>
      </c>
      <c r="R659">
        <v>154.12</v>
      </c>
      <c r="S659">
        <v>143.1</v>
      </c>
    </row>
    <row r="660" spans="1:19" x14ac:dyDescent="0.3">
      <c r="A660" s="2">
        <v>44845</v>
      </c>
      <c r="B660">
        <v>133.80000000000001</v>
      </c>
      <c r="C660">
        <v>194.27</v>
      </c>
      <c r="D660">
        <v>251.91</v>
      </c>
      <c r="E660">
        <v>252.2</v>
      </c>
      <c r="F660">
        <v>190.43</v>
      </c>
      <c r="G660">
        <v>89.35</v>
      </c>
      <c r="H660">
        <v>94.29</v>
      </c>
      <c r="I660">
        <v>92.93</v>
      </c>
      <c r="J660">
        <v>98</v>
      </c>
      <c r="K660">
        <v>23.45</v>
      </c>
      <c r="L660">
        <v>64588.09</v>
      </c>
      <c r="M660">
        <v>47571.49</v>
      </c>
      <c r="N660">
        <v>34.784999999999997</v>
      </c>
      <c r="O660">
        <v>5.4980000000000001E-2</v>
      </c>
      <c r="P660">
        <v>6.5960000000000001</v>
      </c>
      <c r="Q660">
        <v>90.79</v>
      </c>
      <c r="R660">
        <v>156.78</v>
      </c>
      <c r="S660">
        <v>141</v>
      </c>
    </row>
    <row r="661" spans="1:19" x14ac:dyDescent="0.3">
      <c r="A661" s="2">
        <v>44846</v>
      </c>
      <c r="B661">
        <v>133.80000000000001</v>
      </c>
      <c r="C661">
        <v>194.27</v>
      </c>
      <c r="D661">
        <v>251.91</v>
      </c>
      <c r="E661">
        <v>252.2</v>
      </c>
      <c r="F661">
        <v>190.43</v>
      </c>
      <c r="G661">
        <v>87.27</v>
      </c>
      <c r="H661">
        <v>92.45</v>
      </c>
      <c r="I661">
        <v>91.58</v>
      </c>
      <c r="J661">
        <v>98.43</v>
      </c>
      <c r="K661">
        <v>23.45</v>
      </c>
      <c r="L661">
        <v>64528.23</v>
      </c>
      <c r="M661">
        <v>47532.03</v>
      </c>
      <c r="N661">
        <v>34.704999999999998</v>
      </c>
      <c r="O661">
        <v>5.4620000000000002E-2</v>
      </c>
      <c r="P661">
        <v>6.4349999999999996</v>
      </c>
      <c r="Q661">
        <v>90.61</v>
      </c>
      <c r="R661">
        <v>160.19</v>
      </c>
      <c r="S661">
        <v>142</v>
      </c>
    </row>
    <row r="662" spans="1:19" x14ac:dyDescent="0.3">
      <c r="A662" s="2">
        <v>44847</v>
      </c>
      <c r="B662">
        <v>133.80000000000001</v>
      </c>
      <c r="C662">
        <v>194.27</v>
      </c>
      <c r="D662">
        <v>251.91</v>
      </c>
      <c r="E662">
        <v>252.2</v>
      </c>
      <c r="F662">
        <v>190.43</v>
      </c>
      <c r="G662">
        <v>89.11</v>
      </c>
      <c r="H662">
        <v>94.57</v>
      </c>
      <c r="I662">
        <v>92.42</v>
      </c>
      <c r="J662">
        <v>101.87</v>
      </c>
      <c r="K662">
        <v>23.3</v>
      </c>
      <c r="L662">
        <v>64392.43</v>
      </c>
      <c r="M662">
        <v>46296.38</v>
      </c>
      <c r="N662">
        <v>34.835000000000001</v>
      </c>
      <c r="O662">
        <v>5.4699999999999999E-2</v>
      </c>
      <c r="P662">
        <v>6.7409999999999997</v>
      </c>
      <c r="Q662">
        <v>92.47</v>
      </c>
      <c r="R662">
        <v>153.81</v>
      </c>
      <c r="S662">
        <v>140.25</v>
      </c>
    </row>
    <row r="663" spans="1:19" x14ac:dyDescent="0.3">
      <c r="A663" s="2">
        <v>44848</v>
      </c>
      <c r="B663">
        <v>124.23</v>
      </c>
      <c r="C663">
        <v>176.57</v>
      </c>
      <c r="D663">
        <v>228.71</v>
      </c>
      <c r="E663">
        <v>228.94</v>
      </c>
      <c r="F663">
        <v>185.92</v>
      </c>
      <c r="G663">
        <v>85.61</v>
      </c>
      <c r="H663">
        <v>90.15</v>
      </c>
      <c r="I663">
        <v>90.79</v>
      </c>
      <c r="J663">
        <v>99.19</v>
      </c>
      <c r="K663">
        <v>23.85</v>
      </c>
      <c r="L663">
        <v>64271.360000000001</v>
      </c>
      <c r="M663">
        <v>45453.23</v>
      </c>
      <c r="N663">
        <v>34.779000000000003</v>
      </c>
      <c r="O663">
        <v>5.4440000000000002E-2</v>
      </c>
      <c r="P663">
        <v>6.4530000000000003</v>
      </c>
      <c r="Q663">
        <v>90.15</v>
      </c>
      <c r="R663">
        <v>141.995</v>
      </c>
      <c r="S663">
        <v>139.94999999999999</v>
      </c>
    </row>
    <row r="664" spans="1:19" x14ac:dyDescent="0.3">
      <c r="A664" s="2">
        <v>44851</v>
      </c>
      <c r="B664">
        <v>124.23</v>
      </c>
      <c r="C664">
        <v>176.57</v>
      </c>
      <c r="D664">
        <v>228.71</v>
      </c>
      <c r="E664">
        <v>228.94</v>
      </c>
      <c r="F664">
        <v>185.92</v>
      </c>
      <c r="G664">
        <v>85.46</v>
      </c>
      <c r="H664">
        <v>90.18</v>
      </c>
      <c r="I664">
        <v>90.71</v>
      </c>
      <c r="J664">
        <v>100.62</v>
      </c>
      <c r="K664">
        <v>23.75</v>
      </c>
      <c r="L664">
        <v>66190.75</v>
      </c>
      <c r="M664">
        <v>47122.38</v>
      </c>
      <c r="N664">
        <v>30.92</v>
      </c>
      <c r="O664">
        <v>5.5289999999999999E-2</v>
      </c>
      <c r="P664">
        <v>5.9989999999999997</v>
      </c>
      <c r="Q664">
        <v>91.78</v>
      </c>
      <c r="R664">
        <v>127.98</v>
      </c>
      <c r="S664">
        <v>139.05000000000001</v>
      </c>
    </row>
    <row r="665" spans="1:19" x14ac:dyDescent="0.3">
      <c r="A665" s="2">
        <v>44852</v>
      </c>
      <c r="B665">
        <v>124.23</v>
      </c>
      <c r="C665">
        <v>176.57</v>
      </c>
      <c r="D665">
        <v>228.71</v>
      </c>
      <c r="E665">
        <v>228.94</v>
      </c>
      <c r="F665">
        <v>185.92</v>
      </c>
      <c r="G665">
        <v>82.82</v>
      </c>
      <c r="H665">
        <v>88.6</v>
      </c>
      <c r="I665">
        <v>89.92</v>
      </c>
      <c r="J665">
        <v>100.8</v>
      </c>
      <c r="K665">
        <v>23.85</v>
      </c>
      <c r="L665">
        <v>66350.98</v>
      </c>
      <c r="M665">
        <v>46559.87</v>
      </c>
      <c r="N665">
        <v>29.69</v>
      </c>
      <c r="O665">
        <v>5.5190000000000003E-2</v>
      </c>
      <c r="P665">
        <v>5.7450000000000001</v>
      </c>
      <c r="Q665">
        <v>92.71</v>
      </c>
      <c r="R665">
        <v>113.22</v>
      </c>
      <c r="S665">
        <v>139.69999999999999</v>
      </c>
    </row>
    <row r="666" spans="1:19" x14ac:dyDescent="0.3">
      <c r="A666" s="2">
        <v>44853</v>
      </c>
      <c r="B666">
        <v>124.23</v>
      </c>
      <c r="C666">
        <v>176.57</v>
      </c>
      <c r="D666">
        <v>228.71</v>
      </c>
      <c r="E666">
        <v>228.94</v>
      </c>
      <c r="F666">
        <v>185.92</v>
      </c>
      <c r="G666">
        <v>85.55</v>
      </c>
      <c r="H666">
        <v>90.56</v>
      </c>
      <c r="I666">
        <v>90.53</v>
      </c>
      <c r="J666">
        <v>103.79</v>
      </c>
      <c r="K666">
        <v>23.95</v>
      </c>
      <c r="L666">
        <v>65652.5</v>
      </c>
      <c r="M666">
        <v>45309.86</v>
      </c>
      <c r="N666">
        <v>30.315000000000001</v>
      </c>
      <c r="O666">
        <v>5.4640000000000001E-2</v>
      </c>
      <c r="P666">
        <v>5.4619999999999997</v>
      </c>
      <c r="Q666">
        <v>91.63</v>
      </c>
      <c r="R666">
        <v>112.51</v>
      </c>
      <c r="S666">
        <v>140.94999999999999</v>
      </c>
    </row>
    <row r="667" spans="1:19" x14ac:dyDescent="0.3">
      <c r="A667" s="2">
        <v>44854</v>
      </c>
      <c r="B667">
        <v>124.23</v>
      </c>
      <c r="C667">
        <v>176.57</v>
      </c>
      <c r="D667">
        <v>228.71</v>
      </c>
      <c r="E667">
        <v>228.94</v>
      </c>
      <c r="F667">
        <v>185.92</v>
      </c>
      <c r="G667">
        <v>85.98</v>
      </c>
      <c r="H667">
        <v>90.45</v>
      </c>
      <c r="I667">
        <v>90.54</v>
      </c>
      <c r="J667">
        <v>103.93</v>
      </c>
      <c r="K667">
        <v>23.65</v>
      </c>
      <c r="L667">
        <v>65794.28</v>
      </c>
      <c r="M667">
        <v>45810.45</v>
      </c>
      <c r="N667">
        <v>32.35</v>
      </c>
      <c r="O667">
        <v>5.466E-2</v>
      </c>
      <c r="P667">
        <v>5.3579999999999997</v>
      </c>
      <c r="Q667">
        <v>90.33</v>
      </c>
      <c r="R667">
        <v>127.145</v>
      </c>
      <c r="S667">
        <v>140.69999999999999</v>
      </c>
    </row>
    <row r="668" spans="1:19" x14ac:dyDescent="0.3">
      <c r="A668" s="2">
        <v>44855</v>
      </c>
      <c r="B668">
        <v>115.27</v>
      </c>
      <c r="C668">
        <v>165.67</v>
      </c>
      <c r="D668">
        <v>216.02</v>
      </c>
      <c r="E668">
        <v>229.33</v>
      </c>
      <c r="F668">
        <v>176.76</v>
      </c>
      <c r="G668">
        <v>85.05</v>
      </c>
      <c r="H668">
        <v>91.34</v>
      </c>
      <c r="I668">
        <v>90.95</v>
      </c>
      <c r="J668">
        <v>105.86</v>
      </c>
      <c r="K668">
        <v>23.8</v>
      </c>
      <c r="L668">
        <v>65539.240000000005</v>
      </c>
      <c r="M668">
        <v>46418.32</v>
      </c>
      <c r="N668">
        <v>32.47</v>
      </c>
      <c r="O668">
        <v>5.5169999999999997E-2</v>
      </c>
      <c r="P668">
        <v>4.9589999999999996</v>
      </c>
      <c r="Q668">
        <v>93.05</v>
      </c>
      <c r="R668">
        <v>113.575</v>
      </c>
      <c r="S668">
        <v>134.5</v>
      </c>
    </row>
    <row r="669" spans="1:19" x14ac:dyDescent="0.3">
      <c r="A669" s="2">
        <v>44858</v>
      </c>
      <c r="B669">
        <v>115.27</v>
      </c>
      <c r="C669">
        <v>165.67</v>
      </c>
      <c r="D669">
        <v>216.02</v>
      </c>
      <c r="E669">
        <v>229.33</v>
      </c>
      <c r="F669">
        <v>176.76</v>
      </c>
      <c r="G669">
        <v>84.58</v>
      </c>
      <c r="H669">
        <v>91.21</v>
      </c>
      <c r="I669">
        <v>90.88</v>
      </c>
      <c r="J669">
        <v>106.6</v>
      </c>
      <c r="K669">
        <v>22.35</v>
      </c>
      <c r="L669">
        <v>64975.95</v>
      </c>
      <c r="M669">
        <v>46602.85</v>
      </c>
      <c r="N669">
        <v>31.29</v>
      </c>
      <c r="O669">
        <v>5.432E-2</v>
      </c>
      <c r="P669">
        <v>5.1989999999999998</v>
      </c>
      <c r="Q669">
        <v>93.24</v>
      </c>
      <c r="R669">
        <v>99.17</v>
      </c>
      <c r="S669">
        <v>136.44999999999999</v>
      </c>
    </row>
    <row r="670" spans="1:19" x14ac:dyDescent="0.3">
      <c r="A670" s="2">
        <v>44859</v>
      </c>
      <c r="B670">
        <v>115.27</v>
      </c>
      <c r="C670">
        <v>165.67</v>
      </c>
      <c r="D670">
        <v>216.02</v>
      </c>
      <c r="E670">
        <v>229.33</v>
      </c>
      <c r="F670">
        <v>176.76</v>
      </c>
      <c r="G670">
        <v>85.32</v>
      </c>
      <c r="H670">
        <v>91.74</v>
      </c>
      <c r="I670">
        <v>90.84</v>
      </c>
      <c r="J670">
        <v>105.88</v>
      </c>
      <c r="K670">
        <v>22.9</v>
      </c>
      <c r="L670">
        <v>65850.84</v>
      </c>
      <c r="M670">
        <v>46449.97</v>
      </c>
      <c r="N670">
        <v>31.02</v>
      </c>
      <c r="O670">
        <v>5.491E-2</v>
      </c>
      <c r="P670">
        <v>5.6130000000000004</v>
      </c>
      <c r="Q670">
        <v>95.16</v>
      </c>
      <c r="R670">
        <v>99.795000000000002</v>
      </c>
      <c r="S670">
        <v>139.19999999999999</v>
      </c>
    </row>
    <row r="671" spans="1:19" x14ac:dyDescent="0.3">
      <c r="A671" s="2">
        <v>44860</v>
      </c>
      <c r="B671">
        <v>115.27</v>
      </c>
      <c r="C671">
        <v>165.67</v>
      </c>
      <c r="D671">
        <v>216.02</v>
      </c>
      <c r="E671">
        <v>229.33</v>
      </c>
      <c r="F671">
        <v>176.76</v>
      </c>
      <c r="G671">
        <v>87.91</v>
      </c>
      <c r="H671">
        <v>95.69</v>
      </c>
      <c r="I671">
        <v>91.16</v>
      </c>
      <c r="J671">
        <v>107.14</v>
      </c>
      <c r="K671">
        <v>22.6</v>
      </c>
      <c r="L671">
        <v>67103.09</v>
      </c>
      <c r="M671">
        <v>48305.03</v>
      </c>
      <c r="N671">
        <v>30.45</v>
      </c>
      <c r="O671">
        <v>5.5710000000000003E-2</v>
      </c>
      <c r="P671">
        <v>5.6059999999999999</v>
      </c>
      <c r="Q671">
        <v>93.89</v>
      </c>
      <c r="R671">
        <v>104.32</v>
      </c>
      <c r="S671">
        <v>141.61602674307539</v>
      </c>
    </row>
    <row r="672" spans="1:19" x14ac:dyDescent="0.3">
      <c r="A672" s="2">
        <v>44861</v>
      </c>
      <c r="B672">
        <v>115.27</v>
      </c>
      <c r="C672">
        <v>165.67</v>
      </c>
      <c r="D672">
        <v>216.02</v>
      </c>
      <c r="E672">
        <v>229.33</v>
      </c>
      <c r="F672">
        <v>176.76</v>
      </c>
      <c r="G672">
        <v>89.08</v>
      </c>
      <c r="H672">
        <v>96.96</v>
      </c>
      <c r="I672">
        <v>91.26</v>
      </c>
      <c r="J672">
        <v>107.55</v>
      </c>
      <c r="K672">
        <v>22.5</v>
      </c>
      <c r="L672">
        <v>67123.41</v>
      </c>
      <c r="M672">
        <v>48509.440000000002</v>
      </c>
      <c r="N672">
        <v>30.49</v>
      </c>
      <c r="O672">
        <v>5.5579999999999997E-2</v>
      </c>
      <c r="P672">
        <v>5.1859999999999999</v>
      </c>
      <c r="Q672">
        <v>95.63</v>
      </c>
      <c r="R672">
        <v>107.38500000000001</v>
      </c>
      <c r="S672">
        <v>139.30000000000001</v>
      </c>
    </row>
    <row r="673" spans="1:19" x14ac:dyDescent="0.3">
      <c r="A673" s="2">
        <v>44862</v>
      </c>
      <c r="B673">
        <v>112.79</v>
      </c>
      <c r="C673">
        <v>156.97999999999999</v>
      </c>
      <c r="D673">
        <v>203.85</v>
      </c>
      <c r="E673">
        <v>219.3</v>
      </c>
      <c r="F673">
        <v>176.32</v>
      </c>
      <c r="G673">
        <v>87.9</v>
      </c>
      <c r="H673">
        <v>95.77</v>
      </c>
      <c r="I673">
        <v>91.11</v>
      </c>
      <c r="J673">
        <v>110.7</v>
      </c>
      <c r="K673">
        <v>21.9</v>
      </c>
      <c r="L673">
        <v>66385.58</v>
      </c>
      <c r="M673">
        <v>48001.77</v>
      </c>
      <c r="N673">
        <v>30.16</v>
      </c>
      <c r="O673">
        <v>5.5289999999999999E-2</v>
      </c>
      <c r="P673">
        <v>5.6840000000000002</v>
      </c>
      <c r="Q673">
        <v>96.68</v>
      </c>
      <c r="R673">
        <v>112.244</v>
      </c>
      <c r="S673">
        <v>138.35</v>
      </c>
    </row>
    <row r="674" spans="1:19" x14ac:dyDescent="0.3">
      <c r="A674" s="2">
        <v>44865</v>
      </c>
      <c r="B674">
        <v>112.79</v>
      </c>
      <c r="C674">
        <v>156.97999999999999</v>
      </c>
      <c r="D674">
        <v>203.85</v>
      </c>
      <c r="E674">
        <v>219.3</v>
      </c>
      <c r="F674">
        <v>176.32</v>
      </c>
      <c r="G674">
        <v>86.53</v>
      </c>
      <c r="H674">
        <v>94.83</v>
      </c>
      <c r="I674">
        <v>91.13</v>
      </c>
      <c r="J674">
        <v>110.81</v>
      </c>
      <c r="K674">
        <v>20.65</v>
      </c>
      <c r="L674">
        <v>66671.649999999994</v>
      </c>
      <c r="M674">
        <v>47999.24</v>
      </c>
      <c r="N674">
        <v>27.535</v>
      </c>
      <c r="O674">
        <v>5.4629999999999998E-2</v>
      </c>
      <c r="P674">
        <v>6.3550000000000004</v>
      </c>
      <c r="Q674">
        <v>95.57</v>
      </c>
      <c r="R674">
        <v>123.35</v>
      </c>
      <c r="S674">
        <v>139.9</v>
      </c>
    </row>
    <row r="675" spans="1:19" x14ac:dyDescent="0.3">
      <c r="A675" s="2">
        <v>44866</v>
      </c>
      <c r="B675">
        <v>112.79</v>
      </c>
      <c r="C675">
        <v>156.97999999999999</v>
      </c>
      <c r="D675">
        <v>203.85</v>
      </c>
      <c r="E675">
        <v>219.3</v>
      </c>
      <c r="F675">
        <v>176.32</v>
      </c>
      <c r="G675">
        <v>88.37</v>
      </c>
      <c r="H675">
        <v>94.65</v>
      </c>
      <c r="I675">
        <v>91.22</v>
      </c>
      <c r="J675">
        <v>111.91</v>
      </c>
      <c r="K675">
        <v>21.15</v>
      </c>
      <c r="L675">
        <v>67414.27</v>
      </c>
      <c r="M675">
        <v>48205.09</v>
      </c>
      <c r="N675">
        <v>27.54</v>
      </c>
      <c r="O675">
        <v>5.493E-2</v>
      </c>
      <c r="P675">
        <v>5.7140000000000004</v>
      </c>
      <c r="Q675">
        <v>94.02</v>
      </c>
      <c r="R675">
        <v>116.19499999999999</v>
      </c>
      <c r="S675">
        <v>140.55000000000001</v>
      </c>
    </row>
    <row r="676" spans="1:19" x14ac:dyDescent="0.3">
      <c r="A676" s="2">
        <v>44867</v>
      </c>
      <c r="B676">
        <v>112.79</v>
      </c>
      <c r="C676">
        <v>156.97999999999999</v>
      </c>
      <c r="D676">
        <v>203.85</v>
      </c>
      <c r="E676">
        <v>219.3</v>
      </c>
      <c r="F676">
        <v>176.32</v>
      </c>
      <c r="G676">
        <v>90</v>
      </c>
      <c r="H676">
        <v>96.16</v>
      </c>
      <c r="I676">
        <v>91.87</v>
      </c>
      <c r="J676">
        <v>109.61</v>
      </c>
      <c r="K676">
        <v>21.3</v>
      </c>
      <c r="L676">
        <v>67123.100000000006</v>
      </c>
      <c r="M676">
        <v>48804.480000000003</v>
      </c>
      <c r="N676">
        <v>29.105</v>
      </c>
      <c r="O676">
        <v>5.4739999999999997E-2</v>
      </c>
      <c r="P676">
        <v>6.2679999999999998</v>
      </c>
      <c r="Q676">
        <v>92.63</v>
      </c>
      <c r="R676">
        <v>125.86499999999999</v>
      </c>
      <c r="S676">
        <v>143.25</v>
      </c>
    </row>
    <row r="677" spans="1:19" x14ac:dyDescent="0.3">
      <c r="A677" s="2">
        <v>44868</v>
      </c>
      <c r="B677">
        <v>112.79</v>
      </c>
      <c r="C677">
        <v>156.97999999999999</v>
      </c>
      <c r="D677">
        <v>203.85</v>
      </c>
      <c r="E677">
        <v>219.3</v>
      </c>
      <c r="F677">
        <v>176.32</v>
      </c>
      <c r="G677">
        <v>88.17</v>
      </c>
      <c r="H677">
        <v>94.67</v>
      </c>
      <c r="I677">
        <v>89.5</v>
      </c>
      <c r="J677">
        <v>111.1</v>
      </c>
      <c r="K677">
        <v>21.3</v>
      </c>
      <c r="L677">
        <v>66046.649999999994</v>
      </c>
      <c r="M677">
        <v>46662.75</v>
      </c>
      <c r="N677">
        <v>27.815000000000001</v>
      </c>
      <c r="O677">
        <v>5.4289999999999998E-2</v>
      </c>
      <c r="P677">
        <v>5.9749999999999996</v>
      </c>
      <c r="Q677">
        <v>95.47</v>
      </c>
      <c r="R677">
        <v>125.44499999999999</v>
      </c>
      <c r="S677">
        <v>143.94999999999999</v>
      </c>
    </row>
    <row r="678" spans="1:19" x14ac:dyDescent="0.3">
      <c r="A678" s="2">
        <v>44869</v>
      </c>
      <c r="B678">
        <v>125.47</v>
      </c>
      <c r="C678">
        <v>147</v>
      </c>
      <c r="D678">
        <v>191.34</v>
      </c>
      <c r="E678">
        <v>205.64</v>
      </c>
      <c r="F678">
        <v>171.86</v>
      </c>
      <c r="G678">
        <v>92.61</v>
      </c>
      <c r="H678">
        <v>98.57</v>
      </c>
      <c r="I678">
        <v>93.63</v>
      </c>
      <c r="J678">
        <v>112.31</v>
      </c>
      <c r="K678">
        <v>22.15</v>
      </c>
      <c r="L678">
        <v>69305.19</v>
      </c>
      <c r="M678">
        <v>50410.2</v>
      </c>
      <c r="N678">
        <v>28.925000000000001</v>
      </c>
      <c r="O678">
        <v>5.5809999999999998E-2</v>
      </c>
      <c r="P678">
        <v>6.4</v>
      </c>
      <c r="Q678">
        <v>96.62</v>
      </c>
      <c r="R678">
        <v>114.785</v>
      </c>
      <c r="S678">
        <v>141.85</v>
      </c>
    </row>
    <row r="679" spans="1:19" x14ac:dyDescent="0.3">
      <c r="A679" s="2">
        <v>44872</v>
      </c>
      <c r="B679">
        <v>125.47</v>
      </c>
      <c r="C679">
        <v>147</v>
      </c>
      <c r="D679">
        <v>191.34</v>
      </c>
      <c r="E679">
        <v>205.64</v>
      </c>
      <c r="F679">
        <v>171.86</v>
      </c>
      <c r="G679">
        <v>91.79</v>
      </c>
      <c r="H679">
        <v>97.92</v>
      </c>
      <c r="I679">
        <v>92.68</v>
      </c>
      <c r="J679">
        <v>113.64</v>
      </c>
      <c r="K679">
        <v>22.55</v>
      </c>
      <c r="L679">
        <v>69439.320000000007</v>
      </c>
      <c r="M679">
        <v>50900.92</v>
      </c>
      <c r="N679">
        <v>27.195</v>
      </c>
      <c r="O679">
        <v>5.6349999999999997E-2</v>
      </c>
      <c r="P679">
        <v>6.944</v>
      </c>
      <c r="Q679">
        <v>97.5</v>
      </c>
      <c r="R679">
        <v>109.685</v>
      </c>
      <c r="S679">
        <v>144.05000000000001</v>
      </c>
    </row>
    <row r="680" spans="1:19" x14ac:dyDescent="0.3">
      <c r="A680" s="2">
        <v>44873</v>
      </c>
      <c r="B680">
        <v>125.47</v>
      </c>
      <c r="C680">
        <v>147</v>
      </c>
      <c r="D680">
        <v>191.34</v>
      </c>
      <c r="E680">
        <v>205.64</v>
      </c>
      <c r="F680">
        <v>171.86</v>
      </c>
      <c r="G680">
        <v>88.91</v>
      </c>
      <c r="H680">
        <v>95.36</v>
      </c>
      <c r="I680">
        <v>90.62</v>
      </c>
      <c r="J680">
        <v>114</v>
      </c>
      <c r="K680">
        <v>22.65</v>
      </c>
      <c r="L680">
        <v>69011.45</v>
      </c>
      <c r="M680">
        <v>50658.47</v>
      </c>
      <c r="N680">
        <v>27.88</v>
      </c>
      <c r="O680">
        <v>5.6439999999999997E-2</v>
      </c>
      <c r="P680">
        <v>6.1379999999999999</v>
      </c>
      <c r="Q680">
        <v>99.43</v>
      </c>
      <c r="R680">
        <v>118.145</v>
      </c>
      <c r="S680">
        <v>141.61602674307539</v>
      </c>
    </row>
    <row r="681" spans="1:19" x14ac:dyDescent="0.3">
      <c r="A681" s="2">
        <v>44874</v>
      </c>
      <c r="B681">
        <v>125.47</v>
      </c>
      <c r="C681">
        <v>147</v>
      </c>
      <c r="D681">
        <v>191.34</v>
      </c>
      <c r="E681">
        <v>205.64</v>
      </c>
      <c r="F681">
        <v>171.86</v>
      </c>
      <c r="G681">
        <v>85.83</v>
      </c>
      <c r="H681">
        <v>92.65</v>
      </c>
      <c r="I681">
        <v>88.8</v>
      </c>
      <c r="J681">
        <v>108.9</v>
      </c>
      <c r="K681">
        <v>22.45</v>
      </c>
      <c r="L681">
        <v>69640.23</v>
      </c>
      <c r="M681">
        <v>53873.72</v>
      </c>
      <c r="N681">
        <v>27.73</v>
      </c>
      <c r="O681">
        <v>5.629E-2</v>
      </c>
      <c r="P681">
        <v>5.8650000000000002</v>
      </c>
      <c r="Q681">
        <v>97.26</v>
      </c>
      <c r="R681">
        <v>113.145</v>
      </c>
      <c r="S681">
        <v>142.6</v>
      </c>
    </row>
    <row r="682" spans="1:19" x14ac:dyDescent="0.3">
      <c r="A682" s="2">
        <v>44875</v>
      </c>
      <c r="B682">
        <v>125.47</v>
      </c>
      <c r="C682">
        <v>147</v>
      </c>
      <c r="D682">
        <v>191.34</v>
      </c>
      <c r="E682">
        <v>205.64</v>
      </c>
      <c r="F682">
        <v>171.86</v>
      </c>
      <c r="G682">
        <v>86.47</v>
      </c>
      <c r="H682">
        <v>93.67</v>
      </c>
      <c r="I682">
        <v>89.36</v>
      </c>
      <c r="J682">
        <v>110.5</v>
      </c>
      <c r="K682">
        <v>22.85</v>
      </c>
      <c r="L682">
        <v>70710.27</v>
      </c>
      <c r="M682">
        <v>55066.61</v>
      </c>
      <c r="N682">
        <v>27.545000000000002</v>
      </c>
      <c r="O682">
        <v>5.7520000000000002E-2</v>
      </c>
      <c r="P682">
        <v>6.2389999999999999</v>
      </c>
      <c r="Q682">
        <v>102.54</v>
      </c>
      <c r="R682">
        <v>113.45</v>
      </c>
      <c r="S682">
        <v>140.19999999999999</v>
      </c>
    </row>
    <row r="683" spans="1:19" x14ac:dyDescent="0.3">
      <c r="A683" s="2">
        <v>44876</v>
      </c>
      <c r="B683">
        <v>125.18</v>
      </c>
      <c r="C683">
        <v>143.85</v>
      </c>
      <c r="D683">
        <v>164.24</v>
      </c>
      <c r="E683">
        <v>172.55</v>
      </c>
      <c r="F683">
        <v>158.44999999999999</v>
      </c>
      <c r="G683">
        <v>88.96</v>
      </c>
      <c r="H683">
        <v>95.99</v>
      </c>
      <c r="I683">
        <v>91.11</v>
      </c>
      <c r="J683">
        <v>113.95</v>
      </c>
      <c r="K683">
        <v>22.85</v>
      </c>
      <c r="L683">
        <v>72982.8</v>
      </c>
      <c r="M683">
        <v>55838.47</v>
      </c>
      <c r="N683">
        <v>27.225000000000001</v>
      </c>
      <c r="O683">
        <v>5.7910000000000003E-2</v>
      </c>
      <c r="P683">
        <v>5.8789999999999996</v>
      </c>
      <c r="Q683">
        <v>104.32</v>
      </c>
      <c r="R683">
        <v>97.855000000000004</v>
      </c>
      <c r="S683">
        <v>144.69999999999999</v>
      </c>
    </row>
    <row r="684" spans="1:19" x14ac:dyDescent="0.3">
      <c r="A684" s="2">
        <v>44879</v>
      </c>
      <c r="B684">
        <v>125.18</v>
      </c>
      <c r="C684">
        <v>143.85</v>
      </c>
      <c r="D684">
        <v>164.24</v>
      </c>
      <c r="E684">
        <v>172.55</v>
      </c>
      <c r="F684">
        <v>158.44999999999999</v>
      </c>
      <c r="G684">
        <v>85.87</v>
      </c>
      <c r="H684">
        <v>93.14</v>
      </c>
      <c r="I684">
        <v>89.5</v>
      </c>
      <c r="J684">
        <v>113.37</v>
      </c>
      <c r="K684">
        <v>22.4</v>
      </c>
      <c r="L684">
        <v>72822.47</v>
      </c>
      <c r="M684">
        <v>55614.25</v>
      </c>
      <c r="N684">
        <v>27.23</v>
      </c>
      <c r="O684">
        <v>5.7750000000000003E-2</v>
      </c>
      <c r="P684">
        <v>5.9329999999999998</v>
      </c>
      <c r="Q684">
        <v>104.1</v>
      </c>
      <c r="R684">
        <v>113.705</v>
      </c>
      <c r="S684">
        <v>145.85</v>
      </c>
    </row>
    <row r="685" spans="1:19" x14ac:dyDescent="0.3">
      <c r="A685" s="2">
        <v>44880</v>
      </c>
      <c r="B685">
        <v>125.18</v>
      </c>
      <c r="C685">
        <v>143.85</v>
      </c>
      <c r="D685">
        <v>164.24</v>
      </c>
      <c r="E685">
        <v>172.55</v>
      </c>
      <c r="F685">
        <v>158.44999999999999</v>
      </c>
      <c r="G685">
        <v>86.92</v>
      </c>
      <c r="H685">
        <v>93.86</v>
      </c>
      <c r="I685">
        <v>89.44</v>
      </c>
      <c r="J685">
        <v>114.13</v>
      </c>
      <c r="K685">
        <v>22.45</v>
      </c>
      <c r="L685">
        <v>72998.69</v>
      </c>
      <c r="M685">
        <v>55855.61</v>
      </c>
      <c r="N685">
        <v>27.396999999999998</v>
      </c>
      <c r="O685">
        <v>5.7700000000000001E-2</v>
      </c>
      <c r="P685">
        <v>6.0339999999999998</v>
      </c>
      <c r="Q685">
        <v>105.05</v>
      </c>
      <c r="R685">
        <v>124.105</v>
      </c>
      <c r="S685">
        <v>145.35</v>
      </c>
    </row>
    <row r="686" spans="1:19" x14ac:dyDescent="0.3">
      <c r="A686" s="2">
        <v>44881</v>
      </c>
      <c r="B686">
        <v>125.18</v>
      </c>
      <c r="C686">
        <v>143.85</v>
      </c>
      <c r="D686">
        <v>164.24</v>
      </c>
      <c r="E686">
        <v>172.55</v>
      </c>
      <c r="F686">
        <v>158.44999999999999</v>
      </c>
      <c r="G686">
        <v>85.59</v>
      </c>
      <c r="H686">
        <v>92.86</v>
      </c>
      <c r="I686">
        <v>88.94</v>
      </c>
      <c r="J686">
        <v>112.91</v>
      </c>
      <c r="K686">
        <v>22.55</v>
      </c>
      <c r="L686">
        <v>72607.460000000006</v>
      </c>
      <c r="M686">
        <v>54596.800000000003</v>
      </c>
      <c r="N686">
        <v>25.885000000000002</v>
      </c>
      <c r="O686">
        <v>5.79E-2</v>
      </c>
      <c r="P686">
        <v>6.2</v>
      </c>
      <c r="Q686">
        <v>104.02</v>
      </c>
      <c r="R686">
        <v>113.9</v>
      </c>
      <c r="S686">
        <v>141.55000000000001</v>
      </c>
    </row>
    <row r="687" spans="1:19" x14ac:dyDescent="0.3">
      <c r="A687" s="2">
        <v>44882</v>
      </c>
      <c r="B687">
        <v>125.18</v>
      </c>
      <c r="C687">
        <v>143.85</v>
      </c>
      <c r="D687">
        <v>164.24</v>
      </c>
      <c r="E687">
        <v>172.55</v>
      </c>
      <c r="F687">
        <v>158.44999999999999</v>
      </c>
      <c r="G687">
        <v>81.64</v>
      </c>
      <c r="H687">
        <v>89.78</v>
      </c>
      <c r="I687">
        <v>87.59</v>
      </c>
      <c r="J687">
        <v>113.06</v>
      </c>
      <c r="K687">
        <v>22</v>
      </c>
      <c r="L687">
        <v>72155.289999999994</v>
      </c>
      <c r="M687">
        <v>53974.37</v>
      </c>
      <c r="N687">
        <v>26.315000000000001</v>
      </c>
      <c r="O687">
        <v>5.7480000000000003E-2</v>
      </c>
      <c r="P687">
        <v>6.3689999999999998</v>
      </c>
      <c r="Q687">
        <v>104.1</v>
      </c>
      <c r="R687">
        <v>112.55500000000001</v>
      </c>
      <c r="S687">
        <v>139</v>
      </c>
    </row>
    <row r="688" spans="1:19" x14ac:dyDescent="0.3">
      <c r="A688" s="2">
        <v>44883</v>
      </c>
      <c r="B688">
        <v>119.49</v>
      </c>
      <c r="C688">
        <v>147.03</v>
      </c>
      <c r="D688">
        <v>173.52</v>
      </c>
      <c r="E688">
        <v>181.7</v>
      </c>
      <c r="F688">
        <v>154.97999999999999</v>
      </c>
      <c r="G688">
        <v>80.08</v>
      </c>
      <c r="H688">
        <v>87.62</v>
      </c>
      <c r="I688">
        <v>86.86</v>
      </c>
      <c r="J688">
        <v>112.08</v>
      </c>
      <c r="K688">
        <v>22.1</v>
      </c>
      <c r="L688">
        <v>72576.86</v>
      </c>
      <c r="M688">
        <v>53972.24</v>
      </c>
      <c r="N688">
        <v>26.385000000000002</v>
      </c>
      <c r="O688">
        <v>5.7950000000000002E-2</v>
      </c>
      <c r="P688">
        <v>6.3029999999999999</v>
      </c>
      <c r="Q688">
        <v>104.21</v>
      </c>
      <c r="R688">
        <v>115.51</v>
      </c>
      <c r="S688">
        <v>138.44999999999999</v>
      </c>
    </row>
    <row r="689" spans="1:19" x14ac:dyDescent="0.3">
      <c r="A689" s="2">
        <v>44886</v>
      </c>
      <c r="B689">
        <v>119.49</v>
      </c>
      <c r="C689">
        <v>147.03</v>
      </c>
      <c r="D689">
        <v>173.52</v>
      </c>
      <c r="E689">
        <v>181.7</v>
      </c>
      <c r="F689">
        <v>154.97999999999999</v>
      </c>
      <c r="G689">
        <v>79.73</v>
      </c>
      <c r="H689">
        <v>87.45</v>
      </c>
      <c r="I689">
        <v>86.62</v>
      </c>
      <c r="J689">
        <v>110.97</v>
      </c>
      <c r="K689">
        <v>21.95</v>
      </c>
      <c r="L689">
        <v>71938.009999999995</v>
      </c>
      <c r="M689">
        <v>53284.42</v>
      </c>
      <c r="N689">
        <v>27.3</v>
      </c>
      <c r="O689">
        <v>5.7630000000000001E-2</v>
      </c>
      <c r="P689">
        <v>6.7759999999999998</v>
      </c>
      <c r="Q689">
        <v>105.35</v>
      </c>
      <c r="R689">
        <v>116.13</v>
      </c>
      <c r="S689">
        <v>145.25</v>
      </c>
    </row>
    <row r="690" spans="1:19" x14ac:dyDescent="0.3">
      <c r="A690" s="2">
        <v>44887</v>
      </c>
      <c r="B690">
        <v>119.49</v>
      </c>
      <c r="C690">
        <v>147.03</v>
      </c>
      <c r="D690">
        <v>173.52</v>
      </c>
      <c r="E690">
        <v>181.7</v>
      </c>
      <c r="F690">
        <v>154.97999999999999</v>
      </c>
      <c r="G690">
        <v>80.95</v>
      </c>
      <c r="H690">
        <v>88.36</v>
      </c>
      <c r="I690">
        <v>86.6</v>
      </c>
      <c r="J690">
        <v>114.18</v>
      </c>
      <c r="K690">
        <v>22.25</v>
      </c>
      <c r="L690">
        <v>72242.33</v>
      </c>
      <c r="M690">
        <v>53950.1</v>
      </c>
      <c r="N690">
        <v>29.215</v>
      </c>
      <c r="O690">
        <v>5.799E-2</v>
      </c>
      <c r="P690">
        <v>6.7789999999999999</v>
      </c>
      <c r="Q690">
        <v>106.03</v>
      </c>
      <c r="R690">
        <v>119.64</v>
      </c>
      <c r="S690">
        <v>141.65</v>
      </c>
    </row>
    <row r="691" spans="1:19" x14ac:dyDescent="0.3">
      <c r="A691" s="2">
        <v>44888</v>
      </c>
      <c r="B691">
        <v>119.49</v>
      </c>
      <c r="C691">
        <v>147.03</v>
      </c>
      <c r="D691">
        <v>173.52</v>
      </c>
      <c r="E691">
        <v>181.7</v>
      </c>
      <c r="F691">
        <v>154.97999999999999</v>
      </c>
      <c r="G691">
        <v>77.94</v>
      </c>
      <c r="H691">
        <v>85.41</v>
      </c>
      <c r="I691">
        <v>85.88</v>
      </c>
      <c r="J691">
        <v>113.61</v>
      </c>
      <c r="K691">
        <v>22.65</v>
      </c>
      <c r="L691">
        <v>72891.45</v>
      </c>
      <c r="M691">
        <v>54883.33</v>
      </c>
      <c r="N691">
        <v>31.114999999999998</v>
      </c>
      <c r="O691">
        <v>5.8749999999999997E-2</v>
      </c>
      <c r="P691">
        <v>7.3079999999999998</v>
      </c>
      <c r="Q691">
        <v>106.94</v>
      </c>
      <c r="R691">
        <v>129.62</v>
      </c>
      <c r="S691">
        <v>141.9</v>
      </c>
    </row>
    <row r="692" spans="1:19" x14ac:dyDescent="0.3">
      <c r="A692" s="2">
        <v>44889</v>
      </c>
      <c r="B692">
        <v>119.49</v>
      </c>
      <c r="C692">
        <v>147.03</v>
      </c>
      <c r="D692">
        <v>173.52</v>
      </c>
      <c r="E692">
        <v>181.7</v>
      </c>
      <c r="F692">
        <v>154.97999999999999</v>
      </c>
      <c r="G692">
        <v>77.95</v>
      </c>
      <c r="H692">
        <v>85.34</v>
      </c>
      <c r="I692">
        <v>74.752492970946577</v>
      </c>
      <c r="J692">
        <v>80.871012183692585</v>
      </c>
      <c r="K692">
        <v>22.7</v>
      </c>
      <c r="L692">
        <v>73127.34</v>
      </c>
      <c r="M692">
        <v>55736.59</v>
      </c>
      <c r="N692">
        <v>17.62252908067542</v>
      </c>
      <c r="O692">
        <v>5.8749999999999997E-2</v>
      </c>
      <c r="P692">
        <v>7.1769999999999996</v>
      </c>
      <c r="Q692">
        <v>112.7561105904405</v>
      </c>
      <c r="R692">
        <v>57.384855947955387</v>
      </c>
      <c r="S692">
        <v>146.94999999999999</v>
      </c>
    </row>
    <row r="693" spans="1:19" x14ac:dyDescent="0.3">
      <c r="A693" s="2">
        <v>44890</v>
      </c>
      <c r="B693">
        <v>130.77000000000001</v>
      </c>
      <c r="C693">
        <v>162.80000000000001</v>
      </c>
      <c r="D693">
        <v>191.17</v>
      </c>
      <c r="E693">
        <v>217.08</v>
      </c>
      <c r="F693">
        <v>157.55000000000001</v>
      </c>
      <c r="G693">
        <v>76.28</v>
      </c>
      <c r="H693">
        <v>83.63</v>
      </c>
      <c r="I693">
        <v>85.79</v>
      </c>
      <c r="J693">
        <v>113.21</v>
      </c>
      <c r="K693">
        <v>23.6</v>
      </c>
      <c r="L693">
        <v>73151.38</v>
      </c>
      <c r="M693">
        <v>55279.43</v>
      </c>
      <c r="N693">
        <v>29.96</v>
      </c>
      <c r="O693">
        <v>5.851E-2</v>
      </c>
      <c r="P693">
        <v>7.024</v>
      </c>
      <c r="Q693">
        <v>107.12</v>
      </c>
      <c r="R693">
        <v>124.37</v>
      </c>
      <c r="S693">
        <v>150.35</v>
      </c>
    </row>
    <row r="694" spans="1:19" x14ac:dyDescent="0.3">
      <c r="A694" s="2">
        <v>44893</v>
      </c>
      <c r="B694">
        <v>130.77000000000001</v>
      </c>
      <c r="C694">
        <v>162.80000000000001</v>
      </c>
      <c r="D694">
        <v>191.17</v>
      </c>
      <c r="E694">
        <v>217.08</v>
      </c>
      <c r="F694">
        <v>157.55000000000001</v>
      </c>
      <c r="G694">
        <v>77.239999999999995</v>
      </c>
      <c r="H694">
        <v>83.19</v>
      </c>
      <c r="I694">
        <v>85.97</v>
      </c>
      <c r="J694">
        <v>109.81</v>
      </c>
      <c r="K694">
        <v>22.95</v>
      </c>
      <c r="L694">
        <v>73368.25</v>
      </c>
      <c r="M694">
        <v>55164.28</v>
      </c>
      <c r="N694">
        <v>30.28</v>
      </c>
      <c r="O694">
        <v>5.8270000000000002E-2</v>
      </c>
      <c r="P694">
        <v>6.7119999999999997</v>
      </c>
      <c r="Q694">
        <v>105.08</v>
      </c>
      <c r="R694">
        <v>123.28</v>
      </c>
      <c r="S694">
        <v>148.05000000000001</v>
      </c>
    </row>
    <row r="695" spans="1:19" x14ac:dyDescent="0.3">
      <c r="A695" s="2">
        <v>44894</v>
      </c>
      <c r="B695">
        <v>130.77000000000001</v>
      </c>
      <c r="C695">
        <v>162.80000000000001</v>
      </c>
      <c r="D695">
        <v>191.17</v>
      </c>
      <c r="E695">
        <v>217.08</v>
      </c>
      <c r="F695">
        <v>157.55000000000001</v>
      </c>
      <c r="G695">
        <v>78.2</v>
      </c>
      <c r="H695">
        <v>83.03</v>
      </c>
      <c r="I695">
        <v>86.19</v>
      </c>
      <c r="J695">
        <v>110.54</v>
      </c>
      <c r="K695">
        <v>23.1</v>
      </c>
      <c r="L695">
        <v>73127.92</v>
      </c>
      <c r="M695">
        <v>54561.69</v>
      </c>
      <c r="N695">
        <v>30.504999999999999</v>
      </c>
      <c r="O695">
        <v>5.8790000000000002E-2</v>
      </c>
      <c r="P695">
        <v>7.2350000000000003</v>
      </c>
      <c r="Q695">
        <v>105.34</v>
      </c>
      <c r="R695">
        <v>132.286</v>
      </c>
      <c r="S695">
        <v>148.4</v>
      </c>
    </row>
    <row r="696" spans="1:19" x14ac:dyDescent="0.3">
      <c r="A696" s="2">
        <v>44895</v>
      </c>
      <c r="B696">
        <v>130.77000000000001</v>
      </c>
      <c r="C696">
        <v>162.80000000000001</v>
      </c>
      <c r="D696">
        <v>191.17</v>
      </c>
      <c r="E696">
        <v>217.08</v>
      </c>
      <c r="F696">
        <v>157.55000000000001</v>
      </c>
      <c r="G696">
        <v>80.56</v>
      </c>
      <c r="H696">
        <v>85.43</v>
      </c>
      <c r="I696">
        <v>86.22</v>
      </c>
      <c r="J696">
        <v>111.34</v>
      </c>
      <c r="K696">
        <v>24</v>
      </c>
      <c r="L696">
        <v>74828</v>
      </c>
      <c r="M696">
        <v>56340.88</v>
      </c>
      <c r="N696">
        <v>33.31</v>
      </c>
      <c r="O696">
        <v>5.8189999999999999E-2</v>
      </c>
      <c r="P696">
        <v>6.93</v>
      </c>
      <c r="Q696">
        <v>108.31</v>
      </c>
      <c r="R696">
        <v>146.39500000000001</v>
      </c>
      <c r="S696">
        <v>147.85</v>
      </c>
    </row>
    <row r="697" spans="1:19" x14ac:dyDescent="0.3">
      <c r="A697" s="2">
        <v>44896</v>
      </c>
      <c r="B697">
        <v>130.77000000000001</v>
      </c>
      <c r="C697">
        <v>162.80000000000001</v>
      </c>
      <c r="D697">
        <v>191.17</v>
      </c>
      <c r="E697">
        <v>217.08</v>
      </c>
      <c r="F697">
        <v>157.55000000000001</v>
      </c>
      <c r="G697">
        <v>81.33</v>
      </c>
      <c r="H697">
        <v>86.88</v>
      </c>
      <c r="I697">
        <v>80.94</v>
      </c>
      <c r="J697">
        <v>110.8</v>
      </c>
      <c r="K697">
        <v>23.4</v>
      </c>
      <c r="L697">
        <v>75020.009999999995</v>
      </c>
      <c r="M697">
        <v>58475.56</v>
      </c>
      <c r="N697">
        <v>33.78</v>
      </c>
      <c r="O697">
        <v>5.6590000000000001E-2</v>
      </c>
      <c r="P697">
        <v>6.7380000000000004</v>
      </c>
      <c r="Q697">
        <v>109.53</v>
      </c>
      <c r="R697">
        <v>139.26</v>
      </c>
      <c r="S697">
        <v>148</v>
      </c>
    </row>
    <row r="698" spans="1:19" x14ac:dyDescent="0.3">
      <c r="A698" s="2">
        <v>44897</v>
      </c>
      <c r="B698">
        <v>145.30000000000001</v>
      </c>
      <c r="C698">
        <v>175.18</v>
      </c>
      <c r="D698">
        <v>210.88</v>
      </c>
      <c r="E698">
        <v>236.32</v>
      </c>
      <c r="F698">
        <v>165.72</v>
      </c>
      <c r="G698">
        <v>80.3</v>
      </c>
      <c r="H698">
        <v>85.55</v>
      </c>
      <c r="I698">
        <v>80.099999999999994</v>
      </c>
      <c r="J698">
        <v>109.86</v>
      </c>
      <c r="K698">
        <v>22.55</v>
      </c>
      <c r="L698">
        <v>74322.91</v>
      </c>
      <c r="M698">
        <v>56628.5</v>
      </c>
      <c r="N698">
        <v>31.76</v>
      </c>
      <c r="O698">
        <v>5.706E-2</v>
      </c>
      <c r="P698">
        <v>6.1689999999999996</v>
      </c>
      <c r="Q698">
        <v>109.25</v>
      </c>
      <c r="R698">
        <v>135.56</v>
      </c>
      <c r="S698">
        <v>150.19999999999999</v>
      </c>
    </row>
    <row r="699" spans="1:19" x14ac:dyDescent="0.3">
      <c r="A699" s="2">
        <v>44900</v>
      </c>
      <c r="B699">
        <v>145.30000000000001</v>
      </c>
      <c r="C699">
        <v>175.18</v>
      </c>
      <c r="D699">
        <v>210.88</v>
      </c>
      <c r="E699">
        <v>236.32</v>
      </c>
      <c r="F699">
        <v>165.72</v>
      </c>
      <c r="G699">
        <v>77.400000000000006</v>
      </c>
      <c r="H699">
        <v>82.66</v>
      </c>
      <c r="I699">
        <v>77.52</v>
      </c>
      <c r="J699">
        <v>106.85</v>
      </c>
      <c r="K699">
        <v>23.15</v>
      </c>
      <c r="L699">
        <v>74693.42</v>
      </c>
      <c r="M699">
        <v>56449.14</v>
      </c>
      <c r="N699">
        <v>33.185000000000002</v>
      </c>
      <c r="O699">
        <v>5.7340000000000002E-2</v>
      </c>
      <c r="P699">
        <v>5.484</v>
      </c>
      <c r="Q699">
        <v>107.09</v>
      </c>
      <c r="R699">
        <v>134.69999999999999</v>
      </c>
      <c r="S699">
        <v>151</v>
      </c>
    </row>
    <row r="700" spans="1:19" x14ac:dyDescent="0.3">
      <c r="A700" s="2">
        <v>44901</v>
      </c>
      <c r="B700">
        <v>145.30000000000001</v>
      </c>
      <c r="C700">
        <v>175.18</v>
      </c>
      <c r="D700">
        <v>210.88</v>
      </c>
      <c r="E700">
        <v>236.32</v>
      </c>
      <c r="F700">
        <v>165.72</v>
      </c>
      <c r="G700">
        <v>74.47</v>
      </c>
      <c r="H700">
        <v>79.67</v>
      </c>
      <c r="I700">
        <v>75.12</v>
      </c>
      <c r="J700">
        <v>103.88</v>
      </c>
      <c r="K700">
        <v>23.2</v>
      </c>
      <c r="L700">
        <v>74557.31</v>
      </c>
      <c r="M700">
        <v>56585.4</v>
      </c>
      <c r="N700">
        <v>32.844999999999999</v>
      </c>
      <c r="O700">
        <v>5.765E-2</v>
      </c>
      <c r="P700">
        <v>5.3780000000000001</v>
      </c>
      <c r="Q700">
        <v>105.74</v>
      </c>
      <c r="R700">
        <v>138.49</v>
      </c>
      <c r="S700">
        <v>148.35</v>
      </c>
    </row>
    <row r="701" spans="1:19" x14ac:dyDescent="0.3">
      <c r="A701" s="2">
        <v>44902</v>
      </c>
      <c r="B701">
        <v>145.30000000000001</v>
      </c>
      <c r="C701">
        <v>175.18</v>
      </c>
      <c r="D701">
        <v>210.88</v>
      </c>
      <c r="E701">
        <v>236.32</v>
      </c>
      <c r="F701">
        <v>165.72</v>
      </c>
      <c r="G701">
        <v>72.58</v>
      </c>
      <c r="H701">
        <v>77.59</v>
      </c>
      <c r="I701">
        <v>73.88</v>
      </c>
      <c r="J701">
        <v>103.65</v>
      </c>
      <c r="K701">
        <v>22.6</v>
      </c>
      <c r="L701">
        <v>74011.12</v>
      </c>
      <c r="M701">
        <v>56770.81</v>
      </c>
      <c r="N701">
        <v>33.35</v>
      </c>
      <c r="O701">
        <v>5.8180000000000003E-2</v>
      </c>
      <c r="P701">
        <v>5.617</v>
      </c>
      <c r="Q701">
        <v>103.53</v>
      </c>
      <c r="R701">
        <v>149.245</v>
      </c>
      <c r="S701">
        <v>146.19999999999999</v>
      </c>
    </row>
    <row r="702" spans="1:19" x14ac:dyDescent="0.3">
      <c r="A702" s="2">
        <v>44903</v>
      </c>
      <c r="B702">
        <v>145.30000000000001</v>
      </c>
      <c r="C702">
        <v>175.18</v>
      </c>
      <c r="D702">
        <v>210.88</v>
      </c>
      <c r="E702">
        <v>236.32</v>
      </c>
      <c r="F702">
        <v>165.72</v>
      </c>
      <c r="G702">
        <v>72.06</v>
      </c>
      <c r="H702">
        <v>76.59</v>
      </c>
      <c r="I702">
        <v>73.45</v>
      </c>
      <c r="J702">
        <v>104.42</v>
      </c>
      <c r="K702">
        <v>22.35</v>
      </c>
      <c r="L702">
        <v>74467.259999999995</v>
      </c>
      <c r="M702">
        <v>57205.8</v>
      </c>
      <c r="N702">
        <v>34.295000000000002</v>
      </c>
      <c r="O702">
        <v>5.8189999999999999E-2</v>
      </c>
      <c r="P702">
        <v>5.82</v>
      </c>
      <c r="Q702">
        <v>104.44</v>
      </c>
      <c r="R702">
        <v>138.89500000000001</v>
      </c>
      <c r="S702">
        <v>148.25</v>
      </c>
    </row>
    <row r="703" spans="1:19" x14ac:dyDescent="0.3">
      <c r="A703" s="2">
        <v>44904</v>
      </c>
      <c r="B703">
        <v>138.18</v>
      </c>
      <c r="C703">
        <v>172.46</v>
      </c>
      <c r="D703">
        <v>211.75</v>
      </c>
      <c r="E703">
        <v>235.9</v>
      </c>
      <c r="F703">
        <v>164.13</v>
      </c>
      <c r="G703">
        <v>71.5</v>
      </c>
      <c r="H703">
        <v>76.599999999999994</v>
      </c>
      <c r="I703">
        <v>73.709999999999994</v>
      </c>
      <c r="J703">
        <v>103.54</v>
      </c>
      <c r="K703">
        <v>22.7</v>
      </c>
      <c r="L703">
        <v>74548.14</v>
      </c>
      <c r="M703">
        <v>57261.55</v>
      </c>
      <c r="N703">
        <v>33.365000000000002</v>
      </c>
      <c r="O703">
        <v>5.765E-2</v>
      </c>
      <c r="P703">
        <v>6.0819999999999999</v>
      </c>
      <c r="Q703">
        <v>103.33</v>
      </c>
      <c r="R703">
        <v>139.11500000000001</v>
      </c>
      <c r="S703">
        <v>145.1</v>
      </c>
    </row>
    <row r="704" spans="1:19" x14ac:dyDescent="0.3">
      <c r="A704" s="2">
        <v>44907</v>
      </c>
      <c r="B704">
        <v>138.18</v>
      </c>
      <c r="C704">
        <v>172.46</v>
      </c>
      <c r="D704">
        <v>211.75</v>
      </c>
      <c r="E704">
        <v>235.9</v>
      </c>
      <c r="F704">
        <v>164.13</v>
      </c>
      <c r="G704">
        <v>73.44</v>
      </c>
      <c r="H704">
        <v>78.34</v>
      </c>
      <c r="I704">
        <v>75.13</v>
      </c>
      <c r="J704">
        <v>106.09</v>
      </c>
      <c r="K704">
        <v>22.5</v>
      </c>
      <c r="L704">
        <v>74422.179999999993</v>
      </c>
      <c r="M704">
        <v>56409.98</v>
      </c>
      <c r="N704">
        <v>32.924999999999997</v>
      </c>
      <c r="O704">
        <v>5.688E-2</v>
      </c>
      <c r="P704">
        <v>6.4160000000000004</v>
      </c>
      <c r="Q704">
        <v>105.26</v>
      </c>
      <c r="R704">
        <v>136.59</v>
      </c>
      <c r="S704">
        <v>144.30000000000001</v>
      </c>
    </row>
    <row r="705" spans="1:19" x14ac:dyDescent="0.3">
      <c r="A705" s="2">
        <v>44908</v>
      </c>
      <c r="B705">
        <v>138.18</v>
      </c>
      <c r="C705">
        <v>172.46</v>
      </c>
      <c r="D705">
        <v>211.75</v>
      </c>
      <c r="E705">
        <v>235.9</v>
      </c>
      <c r="F705">
        <v>164.13</v>
      </c>
      <c r="G705">
        <v>75.19</v>
      </c>
      <c r="H705">
        <v>80.86</v>
      </c>
      <c r="I705">
        <v>76.62</v>
      </c>
      <c r="J705">
        <v>107.25</v>
      </c>
      <c r="K705">
        <v>22.45</v>
      </c>
      <c r="L705">
        <v>75835.45</v>
      </c>
      <c r="M705">
        <v>58028.02</v>
      </c>
      <c r="N705">
        <v>33.344999999999999</v>
      </c>
      <c r="O705">
        <v>5.7880000000000001E-2</v>
      </c>
      <c r="P705">
        <v>6.7329999999999997</v>
      </c>
      <c r="Q705">
        <v>106.38</v>
      </c>
      <c r="R705">
        <v>137.53</v>
      </c>
      <c r="S705">
        <v>146.9</v>
      </c>
    </row>
    <row r="706" spans="1:19" x14ac:dyDescent="0.3">
      <c r="A706" s="2">
        <v>44909</v>
      </c>
      <c r="B706">
        <v>138.18</v>
      </c>
      <c r="C706">
        <v>172.46</v>
      </c>
      <c r="D706">
        <v>211.75</v>
      </c>
      <c r="E706">
        <v>235.9</v>
      </c>
      <c r="F706">
        <v>164.13</v>
      </c>
      <c r="G706">
        <v>77.27</v>
      </c>
      <c r="H706">
        <v>82.75</v>
      </c>
      <c r="I706">
        <v>77.67</v>
      </c>
      <c r="J706">
        <v>106.46</v>
      </c>
      <c r="K706">
        <v>22.7</v>
      </c>
      <c r="L706">
        <v>74294.67</v>
      </c>
      <c r="M706">
        <v>55724.32</v>
      </c>
      <c r="N706">
        <v>33.384999999999998</v>
      </c>
      <c r="O706">
        <v>5.8189999999999999E-2</v>
      </c>
      <c r="P706">
        <v>6.22</v>
      </c>
      <c r="Q706">
        <v>103.93</v>
      </c>
      <c r="R706">
        <v>131.51</v>
      </c>
      <c r="S706">
        <v>148.19999999999999</v>
      </c>
    </row>
    <row r="707" spans="1:19" x14ac:dyDescent="0.3">
      <c r="A707" s="2">
        <v>44910</v>
      </c>
      <c r="B707">
        <v>138.18</v>
      </c>
      <c r="C707">
        <v>172.46</v>
      </c>
      <c r="D707">
        <v>211.75</v>
      </c>
      <c r="E707">
        <v>235.9</v>
      </c>
      <c r="F707">
        <v>164.13</v>
      </c>
      <c r="G707">
        <v>76.25</v>
      </c>
      <c r="H707">
        <v>81.319999999999993</v>
      </c>
      <c r="I707">
        <v>76.900000000000006</v>
      </c>
      <c r="J707">
        <v>105.44</v>
      </c>
      <c r="K707">
        <v>22.6</v>
      </c>
      <c r="L707">
        <v>72989.34</v>
      </c>
      <c r="M707">
        <v>54425.72</v>
      </c>
      <c r="N707">
        <v>33.442999999999998</v>
      </c>
      <c r="O707">
        <v>5.713E-2</v>
      </c>
      <c r="P707">
        <v>6.5890000000000004</v>
      </c>
      <c r="Q707">
        <v>102.22</v>
      </c>
      <c r="R707">
        <v>134.76499999999999</v>
      </c>
      <c r="S707">
        <v>147.94999999999999</v>
      </c>
    </row>
    <row r="708" spans="1:19" x14ac:dyDescent="0.3">
      <c r="A708" s="2">
        <v>44911</v>
      </c>
      <c r="B708">
        <v>119.43</v>
      </c>
      <c r="C708">
        <v>147.96</v>
      </c>
      <c r="D708">
        <v>186.2</v>
      </c>
      <c r="E708">
        <v>206.01</v>
      </c>
      <c r="F708">
        <v>160.66</v>
      </c>
      <c r="G708">
        <v>74.45</v>
      </c>
      <c r="H708">
        <v>79.489999999999995</v>
      </c>
      <c r="I708">
        <v>75.89</v>
      </c>
      <c r="J708">
        <v>104.7</v>
      </c>
      <c r="K708">
        <v>22.7</v>
      </c>
      <c r="L708">
        <v>68736.904810964072</v>
      </c>
      <c r="M708">
        <v>52972.178374291107</v>
      </c>
      <c r="N708">
        <v>35.575000000000003</v>
      </c>
      <c r="O708">
        <v>5.6649999999999999E-2</v>
      </c>
      <c r="P708">
        <v>6.3029999999999999</v>
      </c>
      <c r="Q708">
        <v>100.76</v>
      </c>
      <c r="R708">
        <v>115.45</v>
      </c>
      <c r="S708">
        <v>144.85</v>
      </c>
    </row>
    <row r="709" spans="1:19" x14ac:dyDescent="0.3">
      <c r="A709" s="2">
        <v>44914</v>
      </c>
      <c r="B709">
        <v>119.43</v>
      </c>
      <c r="C709">
        <v>147.96</v>
      </c>
      <c r="D709">
        <v>186.2</v>
      </c>
      <c r="E709">
        <v>206.01</v>
      </c>
      <c r="F709">
        <v>160.66</v>
      </c>
      <c r="G709">
        <v>75.89</v>
      </c>
      <c r="H709">
        <v>80.14</v>
      </c>
      <c r="I709">
        <v>76.31</v>
      </c>
      <c r="J709">
        <v>105.17</v>
      </c>
      <c r="K709">
        <v>22.45</v>
      </c>
      <c r="L709">
        <v>73359.600000000006</v>
      </c>
      <c r="M709">
        <v>54621.94</v>
      </c>
      <c r="N709">
        <v>36.49</v>
      </c>
      <c r="O709">
        <v>5.7709999999999997E-2</v>
      </c>
      <c r="P709">
        <v>5.71</v>
      </c>
      <c r="Q709">
        <v>100.28</v>
      </c>
      <c r="R709">
        <v>108.545</v>
      </c>
      <c r="S709">
        <v>144.80000000000001</v>
      </c>
    </row>
    <row r="710" spans="1:19" x14ac:dyDescent="0.3">
      <c r="A710" s="2">
        <v>44915</v>
      </c>
      <c r="B710">
        <v>119.43</v>
      </c>
      <c r="C710">
        <v>147.96</v>
      </c>
      <c r="D710">
        <v>186.2</v>
      </c>
      <c r="E710">
        <v>206.01</v>
      </c>
      <c r="F710">
        <v>160.66</v>
      </c>
      <c r="G710">
        <v>76.23</v>
      </c>
      <c r="H710">
        <v>80.53</v>
      </c>
      <c r="I710">
        <v>76.400000000000006</v>
      </c>
      <c r="J710">
        <v>106.69</v>
      </c>
      <c r="K710">
        <v>22.3</v>
      </c>
      <c r="L710">
        <v>73040.509999999995</v>
      </c>
      <c r="M710">
        <v>54645.77</v>
      </c>
      <c r="N710">
        <v>34.914999999999999</v>
      </c>
      <c r="O710">
        <v>5.7770000000000002E-2</v>
      </c>
      <c r="P710">
        <v>5.2160000000000002</v>
      </c>
      <c r="Q710">
        <v>100.39</v>
      </c>
      <c r="R710">
        <v>105.69</v>
      </c>
      <c r="S710">
        <v>143.9</v>
      </c>
    </row>
    <row r="711" spans="1:19" x14ac:dyDescent="0.3">
      <c r="A711" s="2">
        <v>44916</v>
      </c>
      <c r="B711">
        <v>119.43</v>
      </c>
      <c r="C711">
        <v>147.96</v>
      </c>
      <c r="D711">
        <v>186.2</v>
      </c>
      <c r="E711">
        <v>206.01</v>
      </c>
      <c r="F711">
        <v>160.66</v>
      </c>
      <c r="G711">
        <v>78.239999999999995</v>
      </c>
      <c r="H711">
        <v>82.58</v>
      </c>
      <c r="I711">
        <v>77.099999999999994</v>
      </c>
      <c r="J711">
        <v>108.06</v>
      </c>
      <c r="K711">
        <v>22.45</v>
      </c>
      <c r="L711">
        <v>73836.91</v>
      </c>
      <c r="M711">
        <v>55927.48</v>
      </c>
      <c r="N711">
        <v>31.68</v>
      </c>
      <c r="O711">
        <v>5.8099999999999999E-2</v>
      </c>
      <c r="P711">
        <v>5.2380000000000004</v>
      </c>
      <c r="Q711">
        <v>102.55</v>
      </c>
      <c r="R711">
        <v>97.75</v>
      </c>
      <c r="S711">
        <v>141.1</v>
      </c>
    </row>
    <row r="712" spans="1:19" x14ac:dyDescent="0.3">
      <c r="A712" s="2">
        <v>44917</v>
      </c>
      <c r="B712">
        <v>119.43</v>
      </c>
      <c r="C712">
        <v>147.96</v>
      </c>
      <c r="D712">
        <v>186.2</v>
      </c>
      <c r="E712">
        <v>206.01</v>
      </c>
      <c r="F712">
        <v>160.66</v>
      </c>
      <c r="G712">
        <v>78.45</v>
      </c>
      <c r="H712">
        <v>81.67</v>
      </c>
      <c r="I712">
        <v>76.87</v>
      </c>
      <c r="J712">
        <v>105.88</v>
      </c>
      <c r="K712">
        <v>22.5</v>
      </c>
      <c r="L712">
        <v>73225.13</v>
      </c>
      <c r="M712">
        <v>54997.87</v>
      </c>
      <c r="N712">
        <v>31.635000000000002</v>
      </c>
      <c r="O712">
        <v>5.8279999999999998E-2</v>
      </c>
      <c r="P712">
        <v>4.9279999999999999</v>
      </c>
      <c r="Q712">
        <v>102.46</v>
      </c>
      <c r="R712">
        <v>91.94</v>
      </c>
      <c r="S712">
        <v>138.4</v>
      </c>
    </row>
    <row r="713" spans="1:19" x14ac:dyDescent="0.3">
      <c r="A713" s="2">
        <v>44918</v>
      </c>
      <c r="B713">
        <v>116.49</v>
      </c>
      <c r="C713">
        <v>140.33000000000001</v>
      </c>
      <c r="D713">
        <v>173.37</v>
      </c>
      <c r="E713">
        <v>177.92</v>
      </c>
      <c r="F713">
        <v>162.07</v>
      </c>
      <c r="G713">
        <v>79.34</v>
      </c>
      <c r="H713">
        <v>84.5</v>
      </c>
      <c r="I713">
        <v>77.48</v>
      </c>
      <c r="J713">
        <v>108.68</v>
      </c>
      <c r="K713">
        <v>22.5</v>
      </c>
      <c r="L713">
        <v>73493.47</v>
      </c>
      <c r="M713">
        <v>55801.1</v>
      </c>
      <c r="N713">
        <v>28.12</v>
      </c>
      <c r="O713">
        <v>5.8659999999999997E-2</v>
      </c>
      <c r="P713">
        <v>4.9800000000000004</v>
      </c>
      <c r="Q713">
        <v>102.81</v>
      </c>
      <c r="R713">
        <v>82.974999999999994</v>
      </c>
      <c r="S713">
        <v>130.19999999999999</v>
      </c>
    </row>
    <row r="714" spans="1:19" x14ac:dyDescent="0.3">
      <c r="A714" s="2">
        <v>44921</v>
      </c>
      <c r="B714">
        <v>87.953183520599239</v>
      </c>
      <c r="C714">
        <v>113.3531554307116</v>
      </c>
      <c r="D714">
        <v>134.97180711610491</v>
      </c>
      <c r="E714">
        <v>144.35149446494461</v>
      </c>
      <c r="F714">
        <v>123.75970973782771</v>
      </c>
      <c r="G714">
        <v>80.97</v>
      </c>
      <c r="H714">
        <v>76.283020072992699</v>
      </c>
      <c r="I714">
        <v>74.752492970946577</v>
      </c>
      <c r="J714">
        <v>80.871012183692585</v>
      </c>
      <c r="K714">
        <v>21.274702495201531</v>
      </c>
      <c r="L714">
        <v>68736.904810964072</v>
      </c>
      <c r="M714">
        <v>52972.178374291107</v>
      </c>
      <c r="N714">
        <v>17.62252908067542</v>
      </c>
      <c r="O714">
        <v>5.8689999999999999E-2</v>
      </c>
      <c r="P714">
        <v>5.1440000000000001</v>
      </c>
      <c r="Q714">
        <v>112.7561105904405</v>
      </c>
      <c r="R714">
        <v>57.384855947955387</v>
      </c>
      <c r="S714">
        <v>136.6</v>
      </c>
    </row>
    <row r="715" spans="1:19" x14ac:dyDescent="0.3">
      <c r="A715" s="2">
        <v>44922</v>
      </c>
      <c r="B715">
        <v>87.953183520599239</v>
      </c>
      <c r="C715">
        <v>113.3531554307116</v>
      </c>
      <c r="D715">
        <v>134.97180711610491</v>
      </c>
      <c r="E715">
        <v>177.92</v>
      </c>
      <c r="F715">
        <v>123.75970973782771</v>
      </c>
      <c r="G715">
        <v>79.77</v>
      </c>
      <c r="H715">
        <v>84.68</v>
      </c>
      <c r="I715">
        <v>77.52</v>
      </c>
      <c r="J715">
        <v>110.19</v>
      </c>
      <c r="K715">
        <v>21.274702495201531</v>
      </c>
      <c r="L715">
        <v>68736.904810964072</v>
      </c>
      <c r="M715">
        <v>52972.178374291107</v>
      </c>
      <c r="N715">
        <v>28.184999999999999</v>
      </c>
      <c r="O715">
        <v>5.8119999999999998E-2</v>
      </c>
      <c r="P715">
        <v>5.282</v>
      </c>
      <c r="Q715">
        <v>102.11</v>
      </c>
      <c r="R715">
        <v>80.045000000000002</v>
      </c>
      <c r="S715">
        <v>138.5</v>
      </c>
    </row>
    <row r="716" spans="1:19" x14ac:dyDescent="0.3">
      <c r="A716" s="2">
        <v>44923</v>
      </c>
      <c r="B716">
        <v>116.49</v>
      </c>
      <c r="C716">
        <v>140.33000000000001</v>
      </c>
      <c r="D716">
        <v>173.37</v>
      </c>
      <c r="E716">
        <v>177.92</v>
      </c>
      <c r="F716">
        <v>162.07</v>
      </c>
      <c r="G716">
        <v>78.599999999999994</v>
      </c>
      <c r="H716">
        <v>83.26</v>
      </c>
      <c r="I716">
        <v>77.39</v>
      </c>
      <c r="J716">
        <v>108.38</v>
      </c>
      <c r="K716">
        <v>22.9</v>
      </c>
      <c r="L716">
        <v>74277.56</v>
      </c>
      <c r="M716">
        <v>56464.78</v>
      </c>
      <c r="N716">
        <v>28.51</v>
      </c>
      <c r="O716">
        <v>5.8400000000000001E-2</v>
      </c>
      <c r="P716">
        <v>4.7089999999999996</v>
      </c>
      <c r="Q716">
        <v>102.27</v>
      </c>
      <c r="R716">
        <v>81.349999999999994</v>
      </c>
      <c r="S716">
        <v>139.6</v>
      </c>
    </row>
    <row r="717" spans="1:19" x14ac:dyDescent="0.3">
      <c r="A717" s="2">
        <v>44924</v>
      </c>
      <c r="B717">
        <v>116.49</v>
      </c>
      <c r="C717">
        <v>140.33000000000001</v>
      </c>
      <c r="D717">
        <v>173.37</v>
      </c>
      <c r="E717">
        <v>177.92</v>
      </c>
      <c r="F717">
        <v>162.07</v>
      </c>
      <c r="G717">
        <v>78.61</v>
      </c>
      <c r="H717">
        <v>82.26</v>
      </c>
      <c r="I717">
        <v>77.239999999999995</v>
      </c>
      <c r="J717">
        <v>109.2</v>
      </c>
      <c r="K717">
        <v>22.5</v>
      </c>
      <c r="L717">
        <v>73597.14</v>
      </c>
      <c r="M717">
        <v>56026.2</v>
      </c>
      <c r="N717">
        <v>28.83</v>
      </c>
      <c r="O717">
        <v>5.8900000000000001E-2</v>
      </c>
      <c r="P717">
        <v>4.5590000000000002</v>
      </c>
      <c r="Q717">
        <v>104.1</v>
      </c>
      <c r="R717">
        <v>83.83</v>
      </c>
      <c r="S717">
        <v>139.6</v>
      </c>
    </row>
    <row r="718" spans="1:19" x14ac:dyDescent="0.3">
      <c r="A718" s="2">
        <v>44925</v>
      </c>
      <c r="B718">
        <v>98.55</v>
      </c>
      <c r="C718">
        <v>126.43</v>
      </c>
      <c r="D718">
        <v>160.44</v>
      </c>
      <c r="E718">
        <v>186.25</v>
      </c>
      <c r="F718">
        <v>156.63</v>
      </c>
      <c r="G718">
        <v>80.47</v>
      </c>
      <c r="H718">
        <v>85.91</v>
      </c>
      <c r="I718">
        <v>77.2</v>
      </c>
      <c r="J718">
        <v>110.3</v>
      </c>
      <c r="K718">
        <v>22.55</v>
      </c>
      <c r="L718">
        <v>73048.570000000007</v>
      </c>
      <c r="M718">
        <v>54581.02</v>
      </c>
      <c r="N718">
        <v>29.515000000000001</v>
      </c>
      <c r="O718">
        <v>5.876E-2</v>
      </c>
      <c r="P718">
        <v>4.4749999999999996</v>
      </c>
      <c r="Q718">
        <v>102.59</v>
      </c>
      <c r="R718">
        <v>76.314999999999998</v>
      </c>
      <c r="S718">
        <v>140</v>
      </c>
    </row>
    <row r="719" spans="1:19" x14ac:dyDescent="0.3">
      <c r="A719" s="2">
        <v>44928</v>
      </c>
      <c r="B719">
        <v>87.953183520599239</v>
      </c>
      <c r="C719">
        <v>113.3531554307116</v>
      </c>
      <c r="D719">
        <v>134.97180711610491</v>
      </c>
      <c r="E719">
        <v>144.35149446494461</v>
      </c>
      <c r="F719">
        <v>123.75970973782771</v>
      </c>
      <c r="G719">
        <v>80.47</v>
      </c>
      <c r="H719">
        <v>76.283020072992699</v>
      </c>
      <c r="I719">
        <v>74.752492970946577</v>
      </c>
      <c r="J719">
        <v>80.871012183692585</v>
      </c>
      <c r="K719">
        <v>21.274702495201531</v>
      </c>
      <c r="L719">
        <v>68736.904810964072</v>
      </c>
      <c r="M719">
        <v>52972.178374291107</v>
      </c>
      <c r="N719">
        <v>17.62252908067542</v>
      </c>
      <c r="O719">
        <v>5.8860000000000003E-2</v>
      </c>
      <c r="P719">
        <v>4.1429999999999998</v>
      </c>
      <c r="Q719">
        <v>112.7561105904405</v>
      </c>
      <c r="R719">
        <v>57.384855947955387</v>
      </c>
      <c r="S719">
        <v>142.25</v>
      </c>
    </row>
    <row r="720" spans="1:19" x14ac:dyDescent="0.3">
      <c r="A720" s="2">
        <v>44929</v>
      </c>
      <c r="B720">
        <v>98.55</v>
      </c>
      <c r="C720">
        <v>126.43</v>
      </c>
      <c r="D720">
        <v>160.44</v>
      </c>
      <c r="E720">
        <v>186.25</v>
      </c>
      <c r="F720">
        <v>156.63</v>
      </c>
      <c r="G720">
        <v>77.12</v>
      </c>
      <c r="H720">
        <v>82.1</v>
      </c>
      <c r="I720">
        <v>77.91</v>
      </c>
      <c r="J720">
        <v>106.51</v>
      </c>
      <c r="K720">
        <v>23.05</v>
      </c>
      <c r="L720">
        <v>74436.479999999996</v>
      </c>
      <c r="M720">
        <v>56530.97</v>
      </c>
      <c r="N720">
        <v>29.344999999999999</v>
      </c>
      <c r="O720">
        <v>5.8770000000000003E-2</v>
      </c>
      <c r="P720">
        <v>3.988</v>
      </c>
      <c r="Q720">
        <v>103.23</v>
      </c>
      <c r="R720">
        <v>72.314999999999998</v>
      </c>
      <c r="S720">
        <v>142.65</v>
      </c>
    </row>
    <row r="721" spans="1:19" x14ac:dyDescent="0.3">
      <c r="A721" s="2">
        <v>44930</v>
      </c>
      <c r="B721">
        <v>98.55</v>
      </c>
      <c r="C721">
        <v>126.43</v>
      </c>
      <c r="D721">
        <v>160.44</v>
      </c>
      <c r="E721">
        <v>186.25</v>
      </c>
      <c r="F721">
        <v>156.63</v>
      </c>
      <c r="G721">
        <v>73.099999999999994</v>
      </c>
      <c r="H721">
        <v>77.84</v>
      </c>
      <c r="I721">
        <v>74.69</v>
      </c>
      <c r="J721">
        <v>106.82</v>
      </c>
      <c r="K721">
        <v>22.8</v>
      </c>
      <c r="L721">
        <v>74567.61</v>
      </c>
      <c r="M721">
        <v>56831.91</v>
      </c>
      <c r="N721">
        <v>29.5</v>
      </c>
      <c r="O721">
        <v>5.9229999999999998E-2</v>
      </c>
      <c r="P721">
        <v>4.1719999999999997</v>
      </c>
      <c r="Q721">
        <v>103.93</v>
      </c>
      <c r="R721">
        <v>65.02</v>
      </c>
      <c r="S721">
        <v>140.5</v>
      </c>
    </row>
    <row r="722" spans="1:19" x14ac:dyDescent="0.3">
      <c r="A722" s="2">
        <v>44931</v>
      </c>
      <c r="B722">
        <v>98.55</v>
      </c>
      <c r="C722">
        <v>126.43</v>
      </c>
      <c r="D722">
        <v>160.44</v>
      </c>
      <c r="E722">
        <v>186.25</v>
      </c>
      <c r="F722">
        <v>156.63</v>
      </c>
      <c r="G722">
        <v>73.92</v>
      </c>
      <c r="H722">
        <v>78.69</v>
      </c>
      <c r="I722">
        <v>75.459999999999994</v>
      </c>
      <c r="J722">
        <v>109.21</v>
      </c>
      <c r="K722">
        <v>22.9</v>
      </c>
      <c r="L722">
        <v>75439.3</v>
      </c>
      <c r="M722">
        <v>57891.73</v>
      </c>
      <c r="N722">
        <v>28.85</v>
      </c>
      <c r="O722">
        <v>5.8229999999999997E-2</v>
      </c>
      <c r="P722">
        <v>3.72</v>
      </c>
      <c r="Q722">
        <v>102.58</v>
      </c>
      <c r="R722">
        <v>72.42</v>
      </c>
      <c r="S722">
        <v>140.44999999999999</v>
      </c>
    </row>
    <row r="723" spans="1:19" x14ac:dyDescent="0.3">
      <c r="A723" s="2">
        <v>44932</v>
      </c>
      <c r="B723">
        <v>112.23</v>
      </c>
      <c r="C723">
        <v>126.64</v>
      </c>
      <c r="D723">
        <v>159.49</v>
      </c>
      <c r="E723">
        <v>179.05</v>
      </c>
      <c r="F723">
        <v>150.04</v>
      </c>
      <c r="G723">
        <v>74.040000000000006</v>
      </c>
      <c r="H723">
        <v>78.569999999999993</v>
      </c>
      <c r="I723">
        <v>75.400000000000006</v>
      </c>
      <c r="J723">
        <v>110.53</v>
      </c>
      <c r="K723">
        <v>22.85</v>
      </c>
      <c r="L723">
        <v>76858.94</v>
      </c>
      <c r="M723">
        <v>60287.57</v>
      </c>
      <c r="N723">
        <v>28.45</v>
      </c>
      <c r="O723">
        <v>5.8299999999999998E-2</v>
      </c>
      <c r="P723">
        <v>3.71</v>
      </c>
      <c r="Q723">
        <v>104.9</v>
      </c>
      <c r="R723">
        <v>69.534999999999997</v>
      </c>
      <c r="S723">
        <v>139.15</v>
      </c>
    </row>
    <row r="724" spans="1:19" x14ac:dyDescent="0.3">
      <c r="A724" s="2">
        <v>44935</v>
      </c>
      <c r="B724">
        <v>112.23</v>
      </c>
      <c r="C724">
        <v>126.64</v>
      </c>
      <c r="D724">
        <v>159.49</v>
      </c>
      <c r="E724">
        <v>179.05</v>
      </c>
      <c r="F724">
        <v>150.04</v>
      </c>
      <c r="G724">
        <v>74.92</v>
      </c>
      <c r="H724">
        <v>79.650000000000006</v>
      </c>
      <c r="I724">
        <v>76.430000000000007</v>
      </c>
      <c r="J724">
        <v>108.47</v>
      </c>
      <c r="K724">
        <v>23</v>
      </c>
      <c r="L724">
        <v>78342.7</v>
      </c>
      <c r="M724">
        <v>61074.51</v>
      </c>
      <c r="N724">
        <v>27.114999999999998</v>
      </c>
      <c r="O724">
        <v>5.9080000000000001E-2</v>
      </c>
      <c r="P724">
        <v>3.91</v>
      </c>
      <c r="Q724">
        <v>105.24</v>
      </c>
      <c r="R724">
        <v>74.3</v>
      </c>
      <c r="S724">
        <v>141.4</v>
      </c>
    </row>
    <row r="725" spans="1:19" x14ac:dyDescent="0.3">
      <c r="A725" s="2">
        <v>44936</v>
      </c>
      <c r="B725">
        <v>112.23</v>
      </c>
      <c r="C725">
        <v>126.64</v>
      </c>
      <c r="D725">
        <v>159.49</v>
      </c>
      <c r="E725">
        <v>179.05</v>
      </c>
      <c r="F725">
        <v>150.04</v>
      </c>
      <c r="G725">
        <v>75.37</v>
      </c>
      <c r="H725">
        <v>80.099999999999994</v>
      </c>
      <c r="I725">
        <v>77.06</v>
      </c>
      <c r="J725">
        <v>110.09</v>
      </c>
      <c r="K725">
        <v>23.25</v>
      </c>
      <c r="L725">
        <v>78000.31</v>
      </c>
      <c r="M725">
        <v>61012.74</v>
      </c>
      <c r="N725">
        <v>27.06</v>
      </c>
      <c r="O725">
        <v>5.8700000000000002E-2</v>
      </c>
      <c r="P725">
        <v>3.6389999999999998</v>
      </c>
      <c r="Q725">
        <v>106.65</v>
      </c>
      <c r="R725">
        <v>70.069999999999993</v>
      </c>
      <c r="S725">
        <v>141.69999999999999</v>
      </c>
    </row>
    <row r="726" spans="1:19" x14ac:dyDescent="0.3">
      <c r="A726" s="2">
        <v>44937</v>
      </c>
      <c r="B726">
        <v>112.23</v>
      </c>
      <c r="C726">
        <v>126.64</v>
      </c>
      <c r="D726">
        <v>159.49</v>
      </c>
      <c r="E726">
        <v>179.05</v>
      </c>
      <c r="F726">
        <v>150.04</v>
      </c>
      <c r="G726">
        <v>77.680000000000007</v>
      </c>
      <c r="H726">
        <v>82.67</v>
      </c>
      <c r="I726">
        <v>78.680000000000007</v>
      </c>
      <c r="J726">
        <v>111.37</v>
      </c>
      <c r="K726">
        <v>24.35</v>
      </c>
      <c r="L726">
        <v>78522.100000000006</v>
      </c>
      <c r="M726">
        <v>61364.32</v>
      </c>
      <c r="N726">
        <v>26.87</v>
      </c>
      <c r="O726">
        <v>5.9119999999999999E-2</v>
      </c>
      <c r="P726">
        <v>3.6709999999999998</v>
      </c>
      <c r="Q726">
        <v>108.69</v>
      </c>
      <c r="R726">
        <v>65.344999999999999</v>
      </c>
      <c r="S726">
        <v>141.85</v>
      </c>
    </row>
    <row r="727" spans="1:19" x14ac:dyDescent="0.3">
      <c r="A727" s="2">
        <v>44938</v>
      </c>
      <c r="B727">
        <v>112.23</v>
      </c>
      <c r="C727">
        <v>126.64</v>
      </c>
      <c r="D727">
        <v>159.49</v>
      </c>
      <c r="E727">
        <v>179.05</v>
      </c>
      <c r="F727">
        <v>150.04</v>
      </c>
      <c r="G727">
        <v>78.650000000000006</v>
      </c>
      <c r="H727">
        <v>84.03</v>
      </c>
      <c r="I727">
        <v>79.39</v>
      </c>
      <c r="J727">
        <v>113.22</v>
      </c>
      <c r="K727">
        <v>24.5</v>
      </c>
      <c r="L727">
        <v>78627.55</v>
      </c>
      <c r="M727">
        <v>61211.58</v>
      </c>
      <c r="N727">
        <v>26.76</v>
      </c>
      <c r="O727">
        <v>5.9659999999999998E-2</v>
      </c>
      <c r="P727">
        <v>3.6949999999999998</v>
      </c>
      <c r="Q727">
        <v>109.03</v>
      </c>
      <c r="R727">
        <v>66.81</v>
      </c>
      <c r="S727">
        <v>141.4</v>
      </c>
    </row>
    <row r="728" spans="1:19" x14ac:dyDescent="0.3">
      <c r="A728" s="2">
        <v>44939</v>
      </c>
      <c r="B728">
        <v>97.04</v>
      </c>
      <c r="C728">
        <v>119.51</v>
      </c>
      <c r="D728">
        <v>147.63</v>
      </c>
      <c r="E728">
        <v>163.95</v>
      </c>
      <c r="F728">
        <v>146.19999999999999</v>
      </c>
      <c r="G728">
        <v>80.11</v>
      </c>
      <c r="H728">
        <v>85.28</v>
      </c>
      <c r="I728">
        <v>80.02</v>
      </c>
      <c r="J728">
        <v>113.15</v>
      </c>
      <c r="K728">
        <v>24.7</v>
      </c>
      <c r="L728">
        <v>79333.72</v>
      </c>
      <c r="M728">
        <v>62404.58</v>
      </c>
      <c r="N728">
        <v>26.806999999999999</v>
      </c>
      <c r="O728">
        <v>5.951E-2</v>
      </c>
      <c r="P728">
        <v>3.419</v>
      </c>
      <c r="Q728">
        <v>107.63</v>
      </c>
      <c r="R728">
        <v>64.81</v>
      </c>
      <c r="S728">
        <v>141.65</v>
      </c>
    </row>
    <row r="729" spans="1:19" x14ac:dyDescent="0.3">
      <c r="A729" s="2">
        <v>44942</v>
      </c>
      <c r="B729">
        <v>97.04</v>
      </c>
      <c r="C729">
        <v>119.51</v>
      </c>
      <c r="D729">
        <v>147.63</v>
      </c>
      <c r="E729">
        <v>163.95</v>
      </c>
      <c r="F729">
        <v>146.19999999999999</v>
      </c>
      <c r="G729">
        <v>79.040000000000006</v>
      </c>
      <c r="H729">
        <v>84.46</v>
      </c>
      <c r="I729">
        <v>74.752492970946577</v>
      </c>
      <c r="J729">
        <v>80.871012183692585</v>
      </c>
      <c r="K729">
        <v>24.8</v>
      </c>
      <c r="L729">
        <v>79167.8</v>
      </c>
      <c r="M729">
        <v>61106.73</v>
      </c>
      <c r="N729">
        <v>17.62252908067542</v>
      </c>
      <c r="O729">
        <v>5.8720000000000001E-2</v>
      </c>
      <c r="P729">
        <v>3.6749999999999998</v>
      </c>
      <c r="Q729">
        <v>112.7561105904405</v>
      </c>
      <c r="R729">
        <v>57.384855947955387</v>
      </c>
      <c r="S729">
        <v>140.75</v>
      </c>
    </row>
    <row r="730" spans="1:19" x14ac:dyDescent="0.3">
      <c r="A730" s="2">
        <v>44943</v>
      </c>
      <c r="B730">
        <v>97.04</v>
      </c>
      <c r="C730">
        <v>119.51</v>
      </c>
      <c r="D730">
        <v>147.63</v>
      </c>
      <c r="E730">
        <v>163.95</v>
      </c>
      <c r="F730">
        <v>146.19999999999999</v>
      </c>
      <c r="G730">
        <v>80.45</v>
      </c>
      <c r="H730">
        <v>85.92</v>
      </c>
      <c r="I730">
        <v>80.66</v>
      </c>
      <c r="J730">
        <v>112.93</v>
      </c>
      <c r="K730">
        <v>24.85</v>
      </c>
      <c r="L730">
        <v>79385.11</v>
      </c>
      <c r="M730">
        <v>60155.8</v>
      </c>
      <c r="N730">
        <v>22.725000000000001</v>
      </c>
      <c r="O730">
        <v>5.8650000000000001E-2</v>
      </c>
      <c r="P730">
        <v>3.5859999999999999</v>
      </c>
      <c r="Q730">
        <v>107.41</v>
      </c>
      <c r="R730">
        <v>60.06</v>
      </c>
      <c r="S730">
        <v>139.9</v>
      </c>
    </row>
    <row r="731" spans="1:19" x14ac:dyDescent="0.3">
      <c r="A731" s="2">
        <v>44944</v>
      </c>
      <c r="B731">
        <v>97.04</v>
      </c>
      <c r="C731">
        <v>119.51</v>
      </c>
      <c r="D731">
        <v>147.63</v>
      </c>
      <c r="E731">
        <v>163.95</v>
      </c>
      <c r="F731">
        <v>146.19999999999999</v>
      </c>
      <c r="G731">
        <v>79.8</v>
      </c>
      <c r="H731">
        <v>84.98</v>
      </c>
      <c r="I731">
        <v>80.19</v>
      </c>
      <c r="J731">
        <v>110.61</v>
      </c>
      <c r="K731">
        <v>24.75</v>
      </c>
      <c r="L731">
        <v>79865.48</v>
      </c>
      <c r="M731">
        <v>60191.53</v>
      </c>
      <c r="N731">
        <v>23.09</v>
      </c>
      <c r="O731">
        <v>5.8340000000000003E-2</v>
      </c>
      <c r="P731">
        <v>3.3109999999999999</v>
      </c>
      <c r="Q731">
        <v>107.67</v>
      </c>
      <c r="R731">
        <v>61.71</v>
      </c>
      <c r="S731">
        <v>139.5</v>
      </c>
    </row>
    <row r="732" spans="1:19" x14ac:dyDescent="0.3">
      <c r="A732" s="2">
        <v>44945</v>
      </c>
      <c r="B732">
        <v>97.04</v>
      </c>
      <c r="C732">
        <v>119.51</v>
      </c>
      <c r="D732">
        <v>147.63</v>
      </c>
      <c r="E732">
        <v>163.95</v>
      </c>
      <c r="F732">
        <v>146.19999999999999</v>
      </c>
      <c r="G732">
        <v>80.61</v>
      </c>
      <c r="H732">
        <v>86.16</v>
      </c>
      <c r="I732">
        <v>80.489999999999995</v>
      </c>
      <c r="J732">
        <v>111.32</v>
      </c>
      <c r="K732">
        <v>24.5</v>
      </c>
      <c r="L732">
        <v>79505.06</v>
      </c>
      <c r="M732">
        <v>59189.3</v>
      </c>
      <c r="N732">
        <v>22.95</v>
      </c>
      <c r="O732">
        <v>5.7869999999999998E-2</v>
      </c>
      <c r="P732">
        <v>3.2749999999999999</v>
      </c>
      <c r="Q732">
        <v>106.92</v>
      </c>
      <c r="R732">
        <v>60.715000000000003</v>
      </c>
      <c r="S732">
        <v>138.5</v>
      </c>
    </row>
    <row r="733" spans="1:19" x14ac:dyDescent="0.3">
      <c r="A733" s="2">
        <v>44946</v>
      </c>
      <c r="B733">
        <v>106.55</v>
      </c>
      <c r="C733">
        <v>124.98</v>
      </c>
      <c r="D733">
        <v>150.35</v>
      </c>
      <c r="E733">
        <v>166.49</v>
      </c>
      <c r="F733">
        <v>146.97999999999999</v>
      </c>
      <c r="G733">
        <v>81.64</v>
      </c>
      <c r="H733">
        <v>87.63</v>
      </c>
      <c r="I733">
        <v>81</v>
      </c>
      <c r="J733">
        <v>113.35</v>
      </c>
      <c r="K733">
        <v>25.1</v>
      </c>
      <c r="L733">
        <v>79269.77</v>
      </c>
      <c r="M733">
        <v>58686.92</v>
      </c>
      <c r="N733">
        <v>22.815000000000001</v>
      </c>
      <c r="O733">
        <v>5.8380000000000001E-2</v>
      </c>
      <c r="P733">
        <v>3.1739999999999999</v>
      </c>
      <c r="Q733">
        <v>108.48</v>
      </c>
      <c r="R733">
        <v>66.900000000000006</v>
      </c>
      <c r="S733">
        <v>135.69999999999999</v>
      </c>
    </row>
    <row r="734" spans="1:19" x14ac:dyDescent="0.3">
      <c r="A734" s="2">
        <v>44949</v>
      </c>
      <c r="B734">
        <v>106.55</v>
      </c>
      <c r="C734">
        <v>124.98</v>
      </c>
      <c r="D734">
        <v>150.35</v>
      </c>
      <c r="E734">
        <v>166.49</v>
      </c>
      <c r="F734">
        <v>146.97999999999999</v>
      </c>
      <c r="G734">
        <v>81.62</v>
      </c>
      <c r="H734">
        <v>88.19</v>
      </c>
      <c r="I734">
        <v>81.069999999999993</v>
      </c>
      <c r="J734">
        <v>112.76</v>
      </c>
      <c r="K734">
        <v>21.274702495201531</v>
      </c>
      <c r="L734">
        <v>80128.63</v>
      </c>
      <c r="M734">
        <v>59035.519999999997</v>
      </c>
      <c r="N734">
        <v>23.254999999999999</v>
      </c>
      <c r="O734">
        <v>5.8160000000000003E-2</v>
      </c>
      <c r="P734">
        <v>3.222</v>
      </c>
      <c r="Q734">
        <v>108.67</v>
      </c>
      <c r="R734">
        <v>66</v>
      </c>
      <c r="S734">
        <v>138.69999999999999</v>
      </c>
    </row>
    <row r="735" spans="1:19" x14ac:dyDescent="0.3">
      <c r="A735" s="2">
        <v>44950</v>
      </c>
      <c r="B735">
        <v>106.55</v>
      </c>
      <c r="C735">
        <v>124.98</v>
      </c>
      <c r="D735">
        <v>150.35</v>
      </c>
      <c r="E735">
        <v>166.49</v>
      </c>
      <c r="F735">
        <v>146.97999999999999</v>
      </c>
      <c r="G735">
        <v>80.13</v>
      </c>
      <c r="H735">
        <v>86.13</v>
      </c>
      <c r="I735">
        <v>80.599999999999994</v>
      </c>
      <c r="J735">
        <v>113.81</v>
      </c>
      <c r="K735">
        <v>21.274702495201531</v>
      </c>
      <c r="L735">
        <v>80037.009999999995</v>
      </c>
      <c r="M735">
        <v>58298.400000000001</v>
      </c>
      <c r="N735">
        <v>22.114999999999998</v>
      </c>
      <c r="O735">
        <v>5.8130000000000001E-2</v>
      </c>
      <c r="P735">
        <v>3.0569999999999999</v>
      </c>
      <c r="Q735">
        <v>106.25</v>
      </c>
      <c r="R735">
        <v>58.27</v>
      </c>
      <c r="S735">
        <v>138.75</v>
      </c>
    </row>
    <row r="736" spans="1:19" x14ac:dyDescent="0.3">
      <c r="A736" s="2">
        <v>44951</v>
      </c>
      <c r="B736">
        <v>106.55</v>
      </c>
      <c r="C736">
        <v>124.98</v>
      </c>
      <c r="D736">
        <v>150.35</v>
      </c>
      <c r="E736">
        <v>166.49</v>
      </c>
      <c r="F736">
        <v>146.97999999999999</v>
      </c>
      <c r="G736">
        <v>80.150000000000006</v>
      </c>
      <c r="H736">
        <v>86.12</v>
      </c>
      <c r="I736">
        <v>80.569999999999993</v>
      </c>
      <c r="J736">
        <v>113.21</v>
      </c>
      <c r="K736">
        <v>21.274702495201531</v>
      </c>
      <c r="L736">
        <v>79725.460000000006</v>
      </c>
      <c r="M736">
        <v>58145.2</v>
      </c>
      <c r="N736">
        <v>20.94</v>
      </c>
      <c r="O736">
        <v>5.842E-2</v>
      </c>
      <c r="P736">
        <v>2.915</v>
      </c>
      <c r="Q736">
        <v>106.49</v>
      </c>
      <c r="R736">
        <v>56.66</v>
      </c>
      <c r="S736">
        <v>136.9</v>
      </c>
    </row>
    <row r="737" spans="1:19" x14ac:dyDescent="0.3">
      <c r="A737" s="2">
        <v>44952</v>
      </c>
      <c r="B737">
        <v>106.55</v>
      </c>
      <c r="C737">
        <v>124.98</v>
      </c>
      <c r="D737">
        <v>150.35</v>
      </c>
      <c r="E737">
        <v>166.49</v>
      </c>
      <c r="F737">
        <v>146.97999999999999</v>
      </c>
      <c r="G737">
        <v>81.010000000000005</v>
      </c>
      <c r="H737">
        <v>87.47</v>
      </c>
      <c r="I737">
        <v>80.739999999999995</v>
      </c>
      <c r="J737">
        <v>117.76</v>
      </c>
      <c r="K737">
        <v>24.8</v>
      </c>
      <c r="L737">
        <v>80508.97</v>
      </c>
      <c r="M737">
        <v>57437.26</v>
      </c>
      <c r="N737">
        <v>20.164999999999999</v>
      </c>
      <c r="O737">
        <v>5.8160000000000003E-2</v>
      </c>
      <c r="P737">
        <v>2.8479999999999999</v>
      </c>
      <c r="Q737">
        <v>108.19</v>
      </c>
      <c r="R737">
        <v>54.814999999999998</v>
      </c>
      <c r="S737">
        <v>141.61602674307539</v>
      </c>
    </row>
    <row r="738" spans="1:19" x14ac:dyDescent="0.3">
      <c r="A738" s="2">
        <v>44953</v>
      </c>
      <c r="B738">
        <v>100.63</v>
      </c>
      <c r="C738">
        <v>121.2</v>
      </c>
      <c r="D738">
        <v>139.81</v>
      </c>
      <c r="E738">
        <v>150.36000000000001</v>
      </c>
      <c r="F738">
        <v>141.97</v>
      </c>
      <c r="G738">
        <v>79.680000000000007</v>
      </c>
      <c r="H738">
        <v>86.66</v>
      </c>
      <c r="I738">
        <v>80.58</v>
      </c>
      <c r="J738">
        <v>115.61</v>
      </c>
      <c r="K738">
        <v>24.95</v>
      </c>
      <c r="L738">
        <v>80791.360000000001</v>
      </c>
      <c r="M738">
        <v>56691.27</v>
      </c>
      <c r="N738">
        <v>19.5</v>
      </c>
      <c r="O738">
        <v>5.8119999999999998E-2</v>
      </c>
      <c r="P738">
        <v>2.8490000000000002</v>
      </c>
      <c r="Q738">
        <v>107.94</v>
      </c>
      <c r="R738">
        <v>55.424999999999997</v>
      </c>
      <c r="S738">
        <v>134.25</v>
      </c>
    </row>
    <row r="739" spans="1:19" x14ac:dyDescent="0.3">
      <c r="A739" s="2">
        <v>44956</v>
      </c>
      <c r="B739">
        <v>100.63</v>
      </c>
      <c r="C739">
        <v>121.2</v>
      </c>
      <c r="D739">
        <v>139.81</v>
      </c>
      <c r="E739">
        <v>150.36000000000001</v>
      </c>
      <c r="F739">
        <v>141.97</v>
      </c>
      <c r="G739">
        <v>77.900000000000006</v>
      </c>
      <c r="H739">
        <v>84.9</v>
      </c>
      <c r="I739">
        <v>80.42</v>
      </c>
      <c r="J739">
        <v>113.56</v>
      </c>
      <c r="K739">
        <v>24.25</v>
      </c>
      <c r="L739">
        <v>80324.86</v>
      </c>
      <c r="M739">
        <v>56848.62</v>
      </c>
      <c r="N739">
        <v>19.484999999999999</v>
      </c>
      <c r="O739">
        <v>5.7459999999999997E-2</v>
      </c>
      <c r="P739">
        <v>2.7309999999999999</v>
      </c>
      <c r="Q739">
        <v>106.66</v>
      </c>
      <c r="R739">
        <v>55.155999999999999</v>
      </c>
      <c r="S739">
        <v>135.35</v>
      </c>
    </row>
    <row r="740" spans="1:19" x14ac:dyDescent="0.3">
      <c r="A740" s="2">
        <v>44957</v>
      </c>
      <c r="B740">
        <v>100.63</v>
      </c>
      <c r="C740">
        <v>121.2</v>
      </c>
      <c r="D740">
        <v>139.81</v>
      </c>
      <c r="E740">
        <v>150.36000000000001</v>
      </c>
      <c r="F740">
        <v>141.97</v>
      </c>
      <c r="G740">
        <v>78.87</v>
      </c>
      <c r="H740">
        <v>84.49</v>
      </c>
      <c r="I740">
        <v>80.38</v>
      </c>
      <c r="J740">
        <v>116.01</v>
      </c>
      <c r="K740">
        <v>24.35</v>
      </c>
      <c r="L740">
        <v>79476.600000000006</v>
      </c>
      <c r="M740">
        <v>55475.88</v>
      </c>
      <c r="N740">
        <v>19.024999999999999</v>
      </c>
      <c r="O740">
        <v>5.7439999999999998E-2</v>
      </c>
      <c r="P740">
        <v>2.7410000000000001</v>
      </c>
      <c r="Q740">
        <v>107.55</v>
      </c>
      <c r="R740">
        <v>57.35</v>
      </c>
      <c r="S740">
        <v>138.6</v>
      </c>
    </row>
    <row r="741" spans="1:19" x14ac:dyDescent="0.3">
      <c r="A741" s="2">
        <v>44958</v>
      </c>
      <c r="B741">
        <v>100.63</v>
      </c>
      <c r="C741">
        <v>121.2</v>
      </c>
      <c r="D741">
        <v>139.81</v>
      </c>
      <c r="E741">
        <v>150.36000000000001</v>
      </c>
      <c r="F741">
        <v>141.97</v>
      </c>
      <c r="G741">
        <v>76.41</v>
      </c>
      <c r="H741">
        <v>82.84</v>
      </c>
      <c r="I741">
        <v>80.319999999999993</v>
      </c>
      <c r="J741">
        <v>114.74</v>
      </c>
      <c r="K741">
        <v>24.05</v>
      </c>
      <c r="L741">
        <v>79816.87</v>
      </c>
      <c r="M741">
        <v>55321.31</v>
      </c>
      <c r="N741">
        <v>18.97</v>
      </c>
      <c r="O741">
        <v>5.8619999999999998E-2</v>
      </c>
      <c r="P741">
        <v>2.536</v>
      </c>
      <c r="Q741">
        <v>109.01</v>
      </c>
      <c r="R741">
        <v>59.524999999999999</v>
      </c>
      <c r="S741">
        <v>136.75</v>
      </c>
    </row>
    <row r="742" spans="1:19" x14ac:dyDescent="0.3">
      <c r="A742" s="2">
        <v>44959</v>
      </c>
      <c r="B742">
        <v>100.63</v>
      </c>
      <c r="C742">
        <v>121.2</v>
      </c>
      <c r="D742">
        <v>139.81</v>
      </c>
      <c r="E742">
        <v>150.36000000000001</v>
      </c>
      <c r="F742">
        <v>141.97</v>
      </c>
      <c r="G742">
        <v>75.88</v>
      </c>
      <c r="H742">
        <v>82.17</v>
      </c>
      <c r="I742">
        <v>80.069999999999993</v>
      </c>
      <c r="J742">
        <v>111.15</v>
      </c>
      <c r="K742">
        <v>24.3</v>
      </c>
      <c r="L742">
        <v>79802.09</v>
      </c>
      <c r="M742">
        <v>55967.59</v>
      </c>
      <c r="N742">
        <v>18.37</v>
      </c>
      <c r="O742">
        <v>5.8560000000000001E-2</v>
      </c>
      <c r="P742">
        <v>2.5219999999999998</v>
      </c>
      <c r="Q742">
        <v>108.33</v>
      </c>
      <c r="R742">
        <v>57.04</v>
      </c>
      <c r="S742">
        <v>138.75</v>
      </c>
    </row>
    <row r="743" spans="1:19" x14ac:dyDescent="0.3">
      <c r="A743" s="2">
        <v>44960</v>
      </c>
      <c r="B743">
        <v>98.3</v>
      </c>
      <c r="C743">
        <v>116.85</v>
      </c>
      <c r="D743">
        <v>133.1</v>
      </c>
      <c r="E743">
        <v>145.78</v>
      </c>
      <c r="F743">
        <v>136.65</v>
      </c>
      <c r="G743">
        <v>73.39</v>
      </c>
      <c r="H743">
        <v>79.94</v>
      </c>
      <c r="I743">
        <v>78.099999999999994</v>
      </c>
      <c r="J743">
        <v>111.92</v>
      </c>
      <c r="K743">
        <v>24</v>
      </c>
      <c r="L743">
        <v>80240.92</v>
      </c>
      <c r="M743">
        <v>55977.38</v>
      </c>
      <c r="N743">
        <v>18.524999999999999</v>
      </c>
      <c r="O743">
        <v>5.7189999999999998E-2</v>
      </c>
      <c r="P743">
        <v>2.48</v>
      </c>
      <c r="Q743">
        <v>107.66</v>
      </c>
      <c r="R743">
        <v>57.89</v>
      </c>
      <c r="S743">
        <v>138.25</v>
      </c>
    </row>
    <row r="744" spans="1:19" x14ac:dyDescent="0.3">
      <c r="A744" s="2">
        <v>44963</v>
      </c>
      <c r="B744">
        <v>98.3</v>
      </c>
      <c r="C744">
        <v>116.85</v>
      </c>
      <c r="D744">
        <v>133.1</v>
      </c>
      <c r="E744">
        <v>145.78</v>
      </c>
      <c r="F744">
        <v>136.65</v>
      </c>
      <c r="G744">
        <v>74.11</v>
      </c>
      <c r="H744">
        <v>80.989999999999995</v>
      </c>
      <c r="I744">
        <v>78.97</v>
      </c>
      <c r="J744">
        <v>111.73</v>
      </c>
      <c r="K744">
        <v>23.9</v>
      </c>
      <c r="L744">
        <v>79582.83</v>
      </c>
      <c r="M744">
        <v>54884.84</v>
      </c>
      <c r="N744">
        <v>18.495000000000001</v>
      </c>
      <c r="O744">
        <v>5.6599999999999998E-2</v>
      </c>
      <c r="P744">
        <v>2.5350000000000001</v>
      </c>
      <c r="Q744">
        <v>108.32</v>
      </c>
      <c r="R744">
        <v>58.11</v>
      </c>
      <c r="S744">
        <v>139.55000000000001</v>
      </c>
    </row>
    <row r="745" spans="1:19" x14ac:dyDescent="0.3">
      <c r="A745" s="2">
        <v>44964</v>
      </c>
      <c r="B745">
        <v>98.3</v>
      </c>
      <c r="C745">
        <v>116.85</v>
      </c>
      <c r="D745">
        <v>133.1</v>
      </c>
      <c r="E745">
        <v>145.78</v>
      </c>
      <c r="F745">
        <v>136.65</v>
      </c>
      <c r="G745">
        <v>77.14</v>
      </c>
      <c r="H745">
        <v>83.69</v>
      </c>
      <c r="I745">
        <v>81.19</v>
      </c>
      <c r="J745">
        <v>114.92</v>
      </c>
      <c r="K745">
        <v>23.9</v>
      </c>
      <c r="L745">
        <v>79534.22</v>
      </c>
      <c r="M745">
        <v>55902.85</v>
      </c>
      <c r="N745">
        <v>18.184999999999999</v>
      </c>
      <c r="O745">
        <v>5.6989999999999999E-2</v>
      </c>
      <c r="P745">
        <v>2.6640000000000001</v>
      </c>
      <c r="Q745">
        <v>109.35</v>
      </c>
      <c r="R745">
        <v>55.405000000000001</v>
      </c>
      <c r="S745">
        <v>138.05000000000001</v>
      </c>
    </row>
    <row r="746" spans="1:19" x14ac:dyDescent="0.3">
      <c r="A746" s="2">
        <v>44965</v>
      </c>
      <c r="B746">
        <v>98.3</v>
      </c>
      <c r="C746">
        <v>116.85</v>
      </c>
      <c r="D746">
        <v>133.1</v>
      </c>
      <c r="E746">
        <v>145.78</v>
      </c>
      <c r="F746">
        <v>136.65</v>
      </c>
      <c r="G746">
        <v>78.47</v>
      </c>
      <c r="H746">
        <v>85.09</v>
      </c>
      <c r="I746">
        <v>82.17</v>
      </c>
      <c r="J746">
        <v>113.92</v>
      </c>
      <c r="K746">
        <v>23.85</v>
      </c>
      <c r="L746">
        <v>79975.59</v>
      </c>
      <c r="M746">
        <v>55543.76</v>
      </c>
      <c r="N746">
        <v>17.93</v>
      </c>
      <c r="O746">
        <v>5.6239999999999998E-2</v>
      </c>
      <c r="P746">
        <v>2.4769999999999999</v>
      </c>
      <c r="Q746">
        <v>109.25</v>
      </c>
      <c r="R746">
        <v>53.685000000000002</v>
      </c>
      <c r="S746">
        <v>138.1</v>
      </c>
    </row>
    <row r="747" spans="1:19" x14ac:dyDescent="0.3">
      <c r="A747" s="2">
        <v>44966</v>
      </c>
      <c r="B747">
        <v>98.3</v>
      </c>
      <c r="C747">
        <v>116.85</v>
      </c>
      <c r="D747">
        <v>133.1</v>
      </c>
      <c r="E747">
        <v>145.78</v>
      </c>
      <c r="F747">
        <v>136.65</v>
      </c>
      <c r="G747">
        <v>78.06</v>
      </c>
      <c r="H747">
        <v>84.5</v>
      </c>
      <c r="I747">
        <v>81.86</v>
      </c>
      <c r="J747">
        <v>114.35</v>
      </c>
      <c r="K747">
        <v>23.85</v>
      </c>
      <c r="L747">
        <v>80021.09</v>
      </c>
      <c r="M747">
        <v>54468.41</v>
      </c>
      <c r="N747">
        <v>17.914999999999999</v>
      </c>
      <c r="O747">
        <v>5.6309999999999999E-2</v>
      </c>
      <c r="P747">
        <v>2.492</v>
      </c>
      <c r="Q747">
        <v>107.54</v>
      </c>
      <c r="R747">
        <v>52.734999999999999</v>
      </c>
      <c r="S747">
        <v>135.65</v>
      </c>
    </row>
    <row r="748" spans="1:19" x14ac:dyDescent="0.3">
      <c r="A748" s="2">
        <v>44967</v>
      </c>
      <c r="B748">
        <v>97.55</v>
      </c>
      <c r="C748">
        <v>116.91</v>
      </c>
      <c r="D748">
        <v>132.66999999999999</v>
      </c>
      <c r="E748">
        <v>144.44999999999999</v>
      </c>
      <c r="F748">
        <v>134.30000000000001</v>
      </c>
      <c r="G748">
        <v>79.72</v>
      </c>
      <c r="H748">
        <v>86.39</v>
      </c>
      <c r="I748">
        <v>83.15</v>
      </c>
      <c r="J748">
        <v>119.17</v>
      </c>
      <c r="K748">
        <v>23.55</v>
      </c>
      <c r="L748">
        <v>78985.350000000006</v>
      </c>
      <c r="M748">
        <v>53103.02</v>
      </c>
      <c r="N748">
        <v>17.984999999999999</v>
      </c>
      <c r="O748">
        <v>5.5800000000000002E-2</v>
      </c>
      <c r="P748">
        <v>2.6070000000000002</v>
      </c>
      <c r="Q748">
        <v>108.71</v>
      </c>
      <c r="R748">
        <v>53.945</v>
      </c>
      <c r="S748">
        <v>134.94999999999999</v>
      </c>
    </row>
    <row r="749" spans="1:19" x14ac:dyDescent="0.3">
      <c r="A749" s="2">
        <v>44970</v>
      </c>
      <c r="B749">
        <v>97.55</v>
      </c>
      <c r="C749">
        <v>116.91</v>
      </c>
      <c r="D749">
        <v>132.66999999999999</v>
      </c>
      <c r="E749">
        <v>144.44999999999999</v>
      </c>
      <c r="F749">
        <v>134.30000000000001</v>
      </c>
      <c r="G749">
        <v>80.14</v>
      </c>
      <c r="H749">
        <v>86.61</v>
      </c>
      <c r="I749">
        <v>83.52</v>
      </c>
      <c r="J749">
        <v>117.8</v>
      </c>
      <c r="K749">
        <v>23.45</v>
      </c>
      <c r="L749">
        <v>79770.210000000006</v>
      </c>
      <c r="M749">
        <v>53909.94</v>
      </c>
      <c r="N749">
        <v>17.895</v>
      </c>
      <c r="O749">
        <v>5.6000000000000001E-2</v>
      </c>
      <c r="P749">
        <v>2.4990000000000001</v>
      </c>
      <c r="Q749">
        <v>109.19</v>
      </c>
      <c r="R749">
        <v>51.704999999999998</v>
      </c>
      <c r="S749">
        <v>133.85</v>
      </c>
    </row>
    <row r="750" spans="1:19" x14ac:dyDescent="0.3">
      <c r="A750" s="2">
        <v>44971</v>
      </c>
      <c r="B750">
        <v>97.55</v>
      </c>
      <c r="C750">
        <v>116.91</v>
      </c>
      <c r="D750">
        <v>132.66999999999999</v>
      </c>
      <c r="E750">
        <v>144.44999999999999</v>
      </c>
      <c r="F750">
        <v>134.30000000000001</v>
      </c>
      <c r="G750">
        <v>79.06</v>
      </c>
      <c r="H750">
        <v>85.58</v>
      </c>
      <c r="I750">
        <v>83.05</v>
      </c>
      <c r="J750">
        <v>116.42</v>
      </c>
      <c r="K750">
        <v>23.45</v>
      </c>
      <c r="L750">
        <v>79858.02</v>
      </c>
      <c r="M750">
        <v>53217.71</v>
      </c>
      <c r="N750">
        <v>17.89</v>
      </c>
      <c r="O750">
        <v>5.5820000000000002E-2</v>
      </c>
      <c r="P750">
        <v>2.6520000000000001</v>
      </c>
      <c r="Q750">
        <v>108.4</v>
      </c>
      <c r="R750">
        <v>52.384999999999998</v>
      </c>
      <c r="S750">
        <v>133.4</v>
      </c>
    </row>
    <row r="751" spans="1:19" x14ac:dyDescent="0.3">
      <c r="A751" s="2">
        <v>44972</v>
      </c>
      <c r="B751">
        <v>97.55</v>
      </c>
      <c r="C751">
        <v>116.91</v>
      </c>
      <c r="D751">
        <v>132.66999999999999</v>
      </c>
      <c r="E751">
        <v>144.44999999999999</v>
      </c>
      <c r="F751">
        <v>134.30000000000001</v>
      </c>
      <c r="G751">
        <v>78.59</v>
      </c>
      <c r="H751">
        <v>85.38</v>
      </c>
      <c r="I751">
        <v>82.95</v>
      </c>
      <c r="J751">
        <v>116.07</v>
      </c>
      <c r="K751">
        <v>23.15</v>
      </c>
      <c r="L751">
        <v>79471.759999999995</v>
      </c>
      <c r="M751">
        <v>51033.33</v>
      </c>
      <c r="N751">
        <v>17.882000000000001</v>
      </c>
      <c r="O751">
        <v>5.543E-2</v>
      </c>
      <c r="P751">
        <v>2.5550000000000002</v>
      </c>
      <c r="Q751">
        <v>108.64</v>
      </c>
      <c r="R751">
        <v>54.715000000000003</v>
      </c>
      <c r="S751">
        <v>134.35</v>
      </c>
    </row>
    <row r="752" spans="1:19" x14ac:dyDescent="0.3">
      <c r="A752" s="2">
        <v>44973</v>
      </c>
      <c r="B752">
        <v>97.55</v>
      </c>
      <c r="C752">
        <v>116.91</v>
      </c>
      <c r="D752">
        <v>132.66999999999999</v>
      </c>
      <c r="E752">
        <v>144.44999999999999</v>
      </c>
      <c r="F752">
        <v>134.30000000000001</v>
      </c>
      <c r="G752">
        <v>78.489999999999995</v>
      </c>
      <c r="H752">
        <v>85.14</v>
      </c>
      <c r="I752">
        <v>82.83</v>
      </c>
      <c r="J752">
        <v>115.73</v>
      </c>
      <c r="K752">
        <v>23.1</v>
      </c>
      <c r="L752">
        <v>80227.19</v>
      </c>
      <c r="M752">
        <v>50973.17</v>
      </c>
      <c r="N752">
        <v>16.295000000000002</v>
      </c>
      <c r="O752">
        <v>5.5039999999999999E-2</v>
      </c>
      <c r="P752">
        <v>2.4849999999999999</v>
      </c>
      <c r="Q752">
        <v>107.13</v>
      </c>
      <c r="R752">
        <v>52.01</v>
      </c>
      <c r="S752">
        <v>136.15</v>
      </c>
    </row>
    <row r="753" spans="1:19" x14ac:dyDescent="0.3">
      <c r="A753" s="2">
        <v>44974</v>
      </c>
      <c r="B753">
        <v>95.97</v>
      </c>
      <c r="C753">
        <v>114.69</v>
      </c>
      <c r="D753">
        <v>130.44</v>
      </c>
      <c r="E753">
        <v>136.87</v>
      </c>
      <c r="F753">
        <v>128.91</v>
      </c>
      <c r="G753">
        <v>76.34</v>
      </c>
      <c r="H753">
        <v>83</v>
      </c>
      <c r="I753">
        <v>82.07</v>
      </c>
      <c r="J753">
        <v>111.28</v>
      </c>
      <c r="K753">
        <v>23.45</v>
      </c>
      <c r="L753">
        <v>79271.78</v>
      </c>
      <c r="M753">
        <v>50460.36</v>
      </c>
      <c r="N753">
        <v>15.92</v>
      </c>
      <c r="O753">
        <v>5.5370000000000003E-2</v>
      </c>
      <c r="P753">
        <v>2.3519999999999999</v>
      </c>
      <c r="Q753">
        <v>107.11</v>
      </c>
      <c r="R753">
        <v>49.045000000000002</v>
      </c>
      <c r="S753">
        <v>135.44999999999999</v>
      </c>
    </row>
    <row r="754" spans="1:19" x14ac:dyDescent="0.3">
      <c r="A754" s="2">
        <v>44977</v>
      </c>
      <c r="B754">
        <v>95.97</v>
      </c>
      <c r="C754">
        <v>114.69</v>
      </c>
      <c r="D754">
        <v>130.44</v>
      </c>
      <c r="E754">
        <v>136.87</v>
      </c>
      <c r="F754">
        <v>128.91</v>
      </c>
      <c r="G754">
        <v>77.3</v>
      </c>
      <c r="H754">
        <v>84.07</v>
      </c>
      <c r="I754">
        <v>74.752492970946577</v>
      </c>
      <c r="J754">
        <v>80.871012183692585</v>
      </c>
      <c r="K754">
        <v>23.55</v>
      </c>
      <c r="L754">
        <v>79829.39</v>
      </c>
      <c r="M754">
        <v>50803.45</v>
      </c>
      <c r="N754">
        <v>17.62252908067542</v>
      </c>
      <c r="O754">
        <v>5.5169999999999997E-2</v>
      </c>
      <c r="P754">
        <v>2.3239999999999998</v>
      </c>
      <c r="Q754">
        <v>112.7561105904405</v>
      </c>
      <c r="R754">
        <v>57.384855947955387</v>
      </c>
      <c r="S754">
        <v>138.25</v>
      </c>
    </row>
    <row r="755" spans="1:19" x14ac:dyDescent="0.3">
      <c r="A755" s="2">
        <v>44978</v>
      </c>
      <c r="B755">
        <v>95.97</v>
      </c>
      <c r="C755">
        <v>114.69</v>
      </c>
      <c r="D755">
        <v>130.44</v>
      </c>
      <c r="E755">
        <v>136.87</v>
      </c>
      <c r="F755">
        <v>128.91</v>
      </c>
      <c r="G755">
        <v>76.16</v>
      </c>
      <c r="H755">
        <v>83.05</v>
      </c>
      <c r="I755">
        <v>82.17</v>
      </c>
      <c r="J755">
        <v>111.17</v>
      </c>
      <c r="K755">
        <v>23.9</v>
      </c>
      <c r="L755">
        <v>78811.05</v>
      </c>
      <c r="M755">
        <v>49721.51</v>
      </c>
      <c r="N755">
        <v>14.3</v>
      </c>
      <c r="O755">
        <v>5.475E-2</v>
      </c>
      <c r="P755">
        <v>2.177</v>
      </c>
      <c r="Q755">
        <v>104.16</v>
      </c>
      <c r="R755">
        <v>48.54</v>
      </c>
      <c r="S755">
        <v>144.05000000000001</v>
      </c>
    </row>
    <row r="756" spans="1:19" x14ac:dyDescent="0.3">
      <c r="A756" s="2">
        <v>44979</v>
      </c>
      <c r="B756">
        <v>95.97</v>
      </c>
      <c r="C756">
        <v>114.69</v>
      </c>
      <c r="D756">
        <v>130.44</v>
      </c>
      <c r="E756">
        <v>136.87</v>
      </c>
      <c r="F756">
        <v>128.91</v>
      </c>
      <c r="G756">
        <v>73.95</v>
      </c>
      <c r="H756">
        <v>80.45</v>
      </c>
      <c r="I756">
        <v>81.69</v>
      </c>
      <c r="J756">
        <v>109.73</v>
      </c>
      <c r="K756">
        <v>23.9</v>
      </c>
      <c r="L756">
        <v>78170.14</v>
      </c>
      <c r="M756">
        <v>47541.93</v>
      </c>
      <c r="N756">
        <v>14.84</v>
      </c>
      <c r="O756">
        <v>5.4820000000000001E-2</v>
      </c>
      <c r="P756">
        <v>2.1739999999999999</v>
      </c>
      <c r="Q756">
        <v>104.29</v>
      </c>
      <c r="R756">
        <v>50.57</v>
      </c>
      <c r="S756">
        <v>145.5</v>
      </c>
    </row>
    <row r="757" spans="1:19" x14ac:dyDescent="0.3">
      <c r="A757" s="2">
        <v>44980</v>
      </c>
      <c r="B757">
        <v>95.97</v>
      </c>
      <c r="C757">
        <v>114.69</v>
      </c>
      <c r="D757">
        <v>130.44</v>
      </c>
      <c r="E757">
        <v>136.87</v>
      </c>
      <c r="F757">
        <v>128.91</v>
      </c>
      <c r="G757">
        <v>75.39</v>
      </c>
      <c r="H757">
        <v>81.95</v>
      </c>
      <c r="I757">
        <v>81.98</v>
      </c>
      <c r="J757">
        <v>110.74</v>
      </c>
      <c r="K757">
        <v>24.15</v>
      </c>
      <c r="L757">
        <v>79010.83</v>
      </c>
      <c r="M757">
        <v>48096.46</v>
      </c>
      <c r="N757">
        <v>14.9</v>
      </c>
      <c r="O757">
        <v>5.4829999999999997E-2</v>
      </c>
      <c r="P757">
        <v>2.3140000000000001</v>
      </c>
      <c r="Q757">
        <v>103.76</v>
      </c>
      <c r="R757">
        <v>50.78</v>
      </c>
      <c r="S757">
        <v>142.05000000000001</v>
      </c>
    </row>
    <row r="758" spans="1:19" x14ac:dyDescent="0.3">
      <c r="A758" s="2">
        <v>44981</v>
      </c>
      <c r="B758">
        <v>93.81</v>
      </c>
      <c r="C758">
        <v>112.82</v>
      </c>
      <c r="D758">
        <v>129.44999999999999</v>
      </c>
      <c r="E758">
        <v>136.57</v>
      </c>
      <c r="F758">
        <v>127.6</v>
      </c>
      <c r="G758">
        <v>76.319999999999993</v>
      </c>
      <c r="H758">
        <v>82.82</v>
      </c>
      <c r="I758">
        <v>82.12</v>
      </c>
      <c r="J758">
        <v>110.75</v>
      </c>
      <c r="K758">
        <v>24.05</v>
      </c>
      <c r="L758">
        <v>76937.77</v>
      </c>
      <c r="M758">
        <v>47112.23</v>
      </c>
      <c r="N758">
        <v>14.99</v>
      </c>
      <c r="O758">
        <v>5.432E-2</v>
      </c>
      <c r="P758">
        <v>2.4510000000000001</v>
      </c>
      <c r="Q758">
        <v>102.51</v>
      </c>
      <c r="R758">
        <v>51.015000000000001</v>
      </c>
      <c r="S758">
        <v>143.85</v>
      </c>
    </row>
    <row r="759" spans="1:19" x14ac:dyDescent="0.3">
      <c r="A759" s="2">
        <v>44984</v>
      </c>
      <c r="B759">
        <v>93.81</v>
      </c>
      <c r="C759">
        <v>112.82</v>
      </c>
      <c r="D759">
        <v>129.44999999999999</v>
      </c>
      <c r="E759">
        <v>136.57</v>
      </c>
      <c r="F759">
        <v>127.6</v>
      </c>
      <c r="G759">
        <v>75.680000000000007</v>
      </c>
      <c r="H759">
        <v>82.45</v>
      </c>
      <c r="I759">
        <v>82.05</v>
      </c>
      <c r="J759">
        <v>110.55</v>
      </c>
      <c r="K759">
        <v>23.95</v>
      </c>
      <c r="L759">
        <v>77513.78</v>
      </c>
      <c r="M759">
        <v>47183.78</v>
      </c>
      <c r="N759">
        <v>14.97</v>
      </c>
      <c r="O759">
        <v>5.4289999999999998E-2</v>
      </c>
      <c r="P759">
        <v>2.7309999999999999</v>
      </c>
      <c r="Q759">
        <v>101.51</v>
      </c>
      <c r="R759">
        <v>47.298999999999999</v>
      </c>
      <c r="S759">
        <v>143</v>
      </c>
    </row>
    <row r="760" spans="1:19" x14ac:dyDescent="0.3">
      <c r="A760" s="2">
        <v>44985</v>
      </c>
      <c r="B760">
        <v>93.81</v>
      </c>
      <c r="C760">
        <v>112.82</v>
      </c>
      <c r="D760">
        <v>129.44999999999999</v>
      </c>
      <c r="E760">
        <v>136.57</v>
      </c>
      <c r="F760">
        <v>127.6</v>
      </c>
      <c r="G760">
        <v>77.05</v>
      </c>
      <c r="H760">
        <v>83.89</v>
      </c>
      <c r="I760">
        <v>82.08</v>
      </c>
      <c r="J760">
        <v>109.91</v>
      </c>
      <c r="K760">
        <v>23.6</v>
      </c>
      <c r="L760">
        <v>77733.87</v>
      </c>
      <c r="M760">
        <v>47031.38</v>
      </c>
      <c r="N760">
        <v>14.36</v>
      </c>
      <c r="O760">
        <v>5.4429999999999999E-2</v>
      </c>
      <c r="P760">
        <v>2.7469999999999999</v>
      </c>
      <c r="Q760">
        <v>101.8</v>
      </c>
      <c r="R760">
        <v>46.664999999999999</v>
      </c>
      <c r="S760">
        <v>144.55000000000001</v>
      </c>
    </row>
    <row r="761" spans="1:19" x14ac:dyDescent="0.3">
      <c r="A761" s="2">
        <v>44986</v>
      </c>
      <c r="B761">
        <v>93.81</v>
      </c>
      <c r="C761">
        <v>112.82</v>
      </c>
      <c r="D761">
        <v>129.44999999999999</v>
      </c>
      <c r="E761">
        <v>136.57</v>
      </c>
      <c r="F761">
        <v>127.6</v>
      </c>
      <c r="G761">
        <v>77.69</v>
      </c>
      <c r="H761">
        <v>84.31</v>
      </c>
      <c r="I761">
        <v>82.35</v>
      </c>
      <c r="J761">
        <v>110.89</v>
      </c>
      <c r="K761">
        <v>24</v>
      </c>
      <c r="L761">
        <v>78631.45</v>
      </c>
      <c r="M761">
        <v>47160.56</v>
      </c>
      <c r="N761">
        <v>14.58</v>
      </c>
      <c r="O761">
        <v>5.5160000000000001E-2</v>
      </c>
      <c r="P761">
        <v>2.8109999999999999</v>
      </c>
      <c r="Q761">
        <v>100.9</v>
      </c>
      <c r="R761">
        <v>47.085000000000001</v>
      </c>
      <c r="S761">
        <v>147.5</v>
      </c>
    </row>
    <row r="762" spans="1:19" x14ac:dyDescent="0.3">
      <c r="A762" s="2">
        <v>44987</v>
      </c>
      <c r="B762">
        <v>93.81</v>
      </c>
      <c r="C762">
        <v>112.82</v>
      </c>
      <c r="D762">
        <v>129.44999999999999</v>
      </c>
      <c r="E762">
        <v>136.57</v>
      </c>
      <c r="F762">
        <v>127.6</v>
      </c>
      <c r="G762">
        <v>78.16</v>
      </c>
      <c r="H762">
        <v>84.75</v>
      </c>
      <c r="I762">
        <v>83.06</v>
      </c>
      <c r="J762">
        <v>111.4</v>
      </c>
      <c r="K762">
        <v>24.4</v>
      </c>
      <c r="L762">
        <v>77547.009999999995</v>
      </c>
      <c r="M762">
        <v>46493.18</v>
      </c>
      <c r="N762">
        <v>14.585000000000001</v>
      </c>
      <c r="O762">
        <v>5.491E-2</v>
      </c>
      <c r="P762">
        <v>2.7650000000000001</v>
      </c>
      <c r="Q762">
        <v>102.71</v>
      </c>
      <c r="R762">
        <v>46.814999999999998</v>
      </c>
      <c r="S762">
        <v>147.80000000000001</v>
      </c>
    </row>
    <row r="763" spans="1:19" x14ac:dyDescent="0.3">
      <c r="A763" s="2">
        <v>44988</v>
      </c>
      <c r="B763">
        <v>96.39</v>
      </c>
      <c r="C763">
        <v>114.61</v>
      </c>
      <c r="D763">
        <v>130.18</v>
      </c>
      <c r="E763">
        <v>140.9</v>
      </c>
      <c r="F763">
        <v>132</v>
      </c>
      <c r="G763">
        <v>79.680000000000007</v>
      </c>
      <c r="H763">
        <v>85.83</v>
      </c>
      <c r="I763">
        <v>84.31</v>
      </c>
      <c r="J763">
        <v>112.81</v>
      </c>
      <c r="K763">
        <v>24.45</v>
      </c>
      <c r="L763">
        <v>78293.009999999995</v>
      </c>
      <c r="M763">
        <v>47684.47</v>
      </c>
      <c r="N763">
        <v>14.324999999999999</v>
      </c>
      <c r="O763">
        <v>5.5059999999999998E-2</v>
      </c>
      <c r="P763">
        <v>3.0089999999999999</v>
      </c>
      <c r="Q763">
        <v>102.48</v>
      </c>
      <c r="R763">
        <v>44.98</v>
      </c>
      <c r="S763">
        <v>145.30000000000001</v>
      </c>
    </row>
    <row r="764" spans="1:19" x14ac:dyDescent="0.3">
      <c r="A764" s="2">
        <v>44991</v>
      </c>
      <c r="B764">
        <v>96.39</v>
      </c>
      <c r="C764">
        <v>114.61</v>
      </c>
      <c r="D764">
        <v>130.18</v>
      </c>
      <c r="E764">
        <v>140.9</v>
      </c>
      <c r="F764">
        <v>132</v>
      </c>
      <c r="G764">
        <v>80.459999999999994</v>
      </c>
      <c r="H764">
        <v>86.18</v>
      </c>
      <c r="I764">
        <v>84.4</v>
      </c>
      <c r="J764">
        <v>113.81</v>
      </c>
      <c r="K764">
        <v>24.65</v>
      </c>
      <c r="L764">
        <v>78697.83</v>
      </c>
      <c r="M764">
        <v>47369.31</v>
      </c>
      <c r="N764">
        <v>14.285</v>
      </c>
      <c r="O764">
        <v>5.4769999999999999E-2</v>
      </c>
      <c r="P764">
        <v>2.5720000000000001</v>
      </c>
      <c r="Q764">
        <v>103.24</v>
      </c>
      <c r="R764">
        <v>42.15</v>
      </c>
      <c r="S764">
        <v>146.69999999999999</v>
      </c>
    </row>
    <row r="765" spans="1:19" x14ac:dyDescent="0.3">
      <c r="A765" s="2">
        <v>44992</v>
      </c>
      <c r="B765">
        <v>96.39</v>
      </c>
      <c r="C765">
        <v>114.61</v>
      </c>
      <c r="D765">
        <v>130.18</v>
      </c>
      <c r="E765">
        <v>140.9</v>
      </c>
      <c r="F765">
        <v>132</v>
      </c>
      <c r="G765">
        <v>77.58</v>
      </c>
      <c r="H765">
        <v>83.29</v>
      </c>
      <c r="I765">
        <v>82.07</v>
      </c>
      <c r="J765">
        <v>111.61</v>
      </c>
      <c r="K765">
        <v>25.05</v>
      </c>
      <c r="L765">
        <v>78556.539999999994</v>
      </c>
      <c r="M765">
        <v>46829.11</v>
      </c>
      <c r="N765">
        <v>13.94</v>
      </c>
      <c r="O765">
        <v>5.3969999999999997E-2</v>
      </c>
      <c r="P765">
        <v>2.6869999999999998</v>
      </c>
      <c r="Q765">
        <v>102.96</v>
      </c>
      <c r="R765">
        <v>43.37</v>
      </c>
      <c r="S765">
        <v>141.61602674307539</v>
      </c>
    </row>
    <row r="766" spans="1:19" x14ac:dyDescent="0.3">
      <c r="A766" s="2">
        <v>44993</v>
      </c>
      <c r="B766">
        <v>96.39</v>
      </c>
      <c r="C766">
        <v>114.61</v>
      </c>
      <c r="D766">
        <v>130.18</v>
      </c>
      <c r="E766">
        <v>140.9</v>
      </c>
      <c r="F766">
        <v>132</v>
      </c>
      <c r="G766">
        <v>76.66</v>
      </c>
      <c r="H766">
        <v>82.66</v>
      </c>
      <c r="I766">
        <v>81.97</v>
      </c>
      <c r="J766">
        <v>109.98</v>
      </c>
      <c r="K766">
        <v>24.5</v>
      </c>
      <c r="L766">
        <v>77741.83</v>
      </c>
      <c r="M766">
        <v>47359.72</v>
      </c>
      <c r="N766">
        <v>13.895</v>
      </c>
      <c r="O766">
        <v>5.3699999999999998E-2</v>
      </c>
      <c r="P766">
        <v>2.5510000000000002</v>
      </c>
      <c r="Q766">
        <v>102.61</v>
      </c>
      <c r="R766">
        <v>42.34</v>
      </c>
      <c r="S766">
        <v>148.75</v>
      </c>
    </row>
    <row r="767" spans="1:19" x14ac:dyDescent="0.3">
      <c r="A767" s="2">
        <v>44994</v>
      </c>
      <c r="B767">
        <v>96.39</v>
      </c>
      <c r="C767">
        <v>114.61</v>
      </c>
      <c r="D767">
        <v>130.18</v>
      </c>
      <c r="E767">
        <v>140.9</v>
      </c>
      <c r="F767">
        <v>132</v>
      </c>
      <c r="G767">
        <v>75.72</v>
      </c>
      <c r="H767">
        <v>81.59</v>
      </c>
      <c r="I767">
        <v>81.239999999999995</v>
      </c>
      <c r="J767">
        <v>109.13</v>
      </c>
      <c r="K767">
        <v>24.25</v>
      </c>
      <c r="L767">
        <v>77664.05</v>
      </c>
      <c r="M767">
        <v>47165.65</v>
      </c>
      <c r="N767">
        <v>14.31</v>
      </c>
      <c r="O767">
        <v>5.3830000000000003E-2</v>
      </c>
      <c r="P767">
        <v>2.5430000000000001</v>
      </c>
      <c r="Q767">
        <v>100.1</v>
      </c>
      <c r="R767">
        <v>43.6</v>
      </c>
      <c r="S767">
        <v>148.15</v>
      </c>
    </row>
    <row r="768" spans="1:19" x14ac:dyDescent="0.3">
      <c r="A768" s="2">
        <v>44995</v>
      </c>
      <c r="B768">
        <v>92.09</v>
      </c>
      <c r="C768">
        <v>107.99</v>
      </c>
      <c r="D768">
        <v>122.49</v>
      </c>
      <c r="E768">
        <v>127.13</v>
      </c>
      <c r="F768">
        <v>129.88</v>
      </c>
      <c r="G768">
        <v>76.680000000000007</v>
      </c>
      <c r="H768">
        <v>82.78</v>
      </c>
      <c r="I768">
        <v>82.16</v>
      </c>
      <c r="J768">
        <v>107.78</v>
      </c>
      <c r="K768">
        <v>24.15</v>
      </c>
      <c r="L768">
        <v>76454.36</v>
      </c>
      <c r="M768">
        <v>48175.9</v>
      </c>
      <c r="N768">
        <v>14.154999999999999</v>
      </c>
      <c r="O768">
        <v>5.459E-2</v>
      </c>
      <c r="P768">
        <v>2.4300000000000002</v>
      </c>
      <c r="Q768">
        <v>95.39</v>
      </c>
      <c r="R768">
        <v>52.854999999999997</v>
      </c>
      <c r="S768">
        <v>148.9</v>
      </c>
    </row>
    <row r="769" spans="1:19" x14ac:dyDescent="0.3">
      <c r="A769" s="2">
        <v>44998</v>
      </c>
      <c r="B769">
        <v>92.09</v>
      </c>
      <c r="C769">
        <v>107.99</v>
      </c>
      <c r="D769">
        <v>122.49</v>
      </c>
      <c r="E769">
        <v>127.13</v>
      </c>
      <c r="F769">
        <v>129.88</v>
      </c>
      <c r="G769">
        <v>74.8</v>
      </c>
      <c r="H769">
        <v>80.77</v>
      </c>
      <c r="I769">
        <v>81.010000000000005</v>
      </c>
      <c r="J769">
        <v>106.54</v>
      </c>
      <c r="K769">
        <v>25.15</v>
      </c>
      <c r="L769">
        <v>75502.28</v>
      </c>
      <c r="M769">
        <v>51982.63</v>
      </c>
      <c r="N769">
        <v>14.244999999999999</v>
      </c>
      <c r="O769">
        <v>5.4960000000000002E-2</v>
      </c>
      <c r="P769">
        <v>2.6059999999999999</v>
      </c>
      <c r="Q769">
        <v>97.67</v>
      </c>
      <c r="R769">
        <v>49.585000000000001</v>
      </c>
      <c r="S769">
        <v>143.19999999999999</v>
      </c>
    </row>
    <row r="770" spans="1:19" x14ac:dyDescent="0.3">
      <c r="A770" s="2">
        <v>44999</v>
      </c>
      <c r="B770">
        <v>92.09</v>
      </c>
      <c r="C770">
        <v>107.99</v>
      </c>
      <c r="D770">
        <v>122.49</v>
      </c>
      <c r="E770">
        <v>127.13</v>
      </c>
      <c r="F770">
        <v>129.88</v>
      </c>
      <c r="G770">
        <v>71.33</v>
      </c>
      <c r="H770">
        <v>77.45</v>
      </c>
      <c r="I770">
        <v>79.2</v>
      </c>
      <c r="J770">
        <v>106.94</v>
      </c>
      <c r="K770">
        <v>25.05</v>
      </c>
      <c r="L770">
        <v>75008.679999999993</v>
      </c>
      <c r="M770">
        <v>50237.06</v>
      </c>
      <c r="N770">
        <v>14.2</v>
      </c>
      <c r="O770">
        <v>5.5129999999999998E-2</v>
      </c>
      <c r="P770">
        <v>2.573</v>
      </c>
      <c r="Q770">
        <v>98.85</v>
      </c>
      <c r="R770">
        <v>44.185000000000002</v>
      </c>
      <c r="S770">
        <v>145.30000000000001</v>
      </c>
    </row>
    <row r="771" spans="1:19" x14ac:dyDescent="0.3">
      <c r="A771" s="2">
        <v>45000</v>
      </c>
      <c r="B771">
        <v>92.09</v>
      </c>
      <c r="C771">
        <v>107.99</v>
      </c>
      <c r="D771">
        <v>122.49</v>
      </c>
      <c r="E771">
        <v>127.13</v>
      </c>
      <c r="F771">
        <v>129.88</v>
      </c>
      <c r="G771">
        <v>67.61</v>
      </c>
      <c r="H771">
        <v>73.28</v>
      </c>
      <c r="I771">
        <v>77.25</v>
      </c>
      <c r="J771">
        <v>101.62</v>
      </c>
      <c r="K771">
        <v>25.65</v>
      </c>
      <c r="L771">
        <v>72895.539999999994</v>
      </c>
      <c r="M771">
        <v>50265.07</v>
      </c>
      <c r="N771">
        <v>14.167999999999999</v>
      </c>
      <c r="O771">
        <v>5.423E-2</v>
      </c>
      <c r="P771">
        <v>2.5459999999999998</v>
      </c>
      <c r="Q771">
        <v>97.52</v>
      </c>
      <c r="R771">
        <v>42.905000000000001</v>
      </c>
      <c r="S771">
        <v>151.44999999999999</v>
      </c>
    </row>
    <row r="772" spans="1:19" x14ac:dyDescent="0.3">
      <c r="A772" s="2">
        <v>45001</v>
      </c>
      <c r="B772">
        <v>92.09</v>
      </c>
      <c r="C772">
        <v>107.99</v>
      </c>
      <c r="D772">
        <v>122.49</v>
      </c>
      <c r="E772">
        <v>127.13</v>
      </c>
      <c r="F772">
        <v>129.88</v>
      </c>
      <c r="G772">
        <v>68.349999999999994</v>
      </c>
      <c r="H772">
        <v>74.290000000000006</v>
      </c>
      <c r="I772">
        <v>77.849999999999994</v>
      </c>
      <c r="J772">
        <v>101.03</v>
      </c>
      <c r="K772">
        <v>24.8</v>
      </c>
      <c r="L772">
        <v>72905.5</v>
      </c>
      <c r="M772">
        <v>49602.2</v>
      </c>
      <c r="N772">
        <v>13.555</v>
      </c>
      <c r="O772">
        <v>5.4339999999999999E-2</v>
      </c>
      <c r="P772">
        <v>2.6259999999999999</v>
      </c>
      <c r="Q772">
        <v>99.23</v>
      </c>
      <c r="R772">
        <v>44.34</v>
      </c>
      <c r="S772">
        <v>152.19999999999999</v>
      </c>
    </row>
    <row r="773" spans="1:19" x14ac:dyDescent="0.3">
      <c r="A773" s="2">
        <v>45002</v>
      </c>
      <c r="B773">
        <v>93.8</v>
      </c>
      <c r="C773">
        <v>112.06</v>
      </c>
      <c r="D773">
        <v>128.5</v>
      </c>
      <c r="E773">
        <v>134.18</v>
      </c>
      <c r="F773">
        <v>130.96</v>
      </c>
      <c r="G773">
        <v>66.739999999999995</v>
      </c>
      <c r="H773">
        <v>72.77</v>
      </c>
      <c r="I773">
        <v>77.14</v>
      </c>
      <c r="J773">
        <v>99.84</v>
      </c>
      <c r="K773">
        <v>25.3</v>
      </c>
      <c r="L773">
        <v>72527.92</v>
      </c>
      <c r="M773">
        <v>51635.86</v>
      </c>
      <c r="N773">
        <v>13.18</v>
      </c>
      <c r="O773">
        <v>5.4109999999999998E-2</v>
      </c>
      <c r="P773">
        <v>2.4460000000000002</v>
      </c>
      <c r="Q773">
        <v>97</v>
      </c>
      <c r="R773">
        <v>42.854999999999997</v>
      </c>
      <c r="S773">
        <v>151.4</v>
      </c>
    </row>
    <row r="774" spans="1:19" x14ac:dyDescent="0.3">
      <c r="A774" s="2">
        <v>45005</v>
      </c>
      <c r="B774">
        <v>93.8</v>
      </c>
      <c r="C774">
        <v>112.06</v>
      </c>
      <c r="D774">
        <v>128.5</v>
      </c>
      <c r="E774">
        <v>134.18</v>
      </c>
      <c r="F774">
        <v>130.96</v>
      </c>
      <c r="G774">
        <v>67.64</v>
      </c>
      <c r="H774">
        <v>73.540000000000006</v>
      </c>
      <c r="I774">
        <v>77.37</v>
      </c>
      <c r="J774">
        <v>102.45</v>
      </c>
      <c r="K774">
        <v>25.1</v>
      </c>
      <c r="L774">
        <v>74271.06</v>
      </c>
      <c r="M774">
        <v>53506.32</v>
      </c>
      <c r="N774">
        <v>13.154999999999999</v>
      </c>
      <c r="O774">
        <v>5.398E-2</v>
      </c>
      <c r="P774">
        <v>2.331</v>
      </c>
      <c r="Q774">
        <v>98.04</v>
      </c>
      <c r="R774">
        <v>39.325000000000003</v>
      </c>
      <c r="S774">
        <v>150.44999999999999</v>
      </c>
    </row>
    <row r="775" spans="1:19" x14ac:dyDescent="0.3">
      <c r="A775" s="2">
        <v>45006</v>
      </c>
      <c r="B775">
        <v>93.8</v>
      </c>
      <c r="C775">
        <v>112.06</v>
      </c>
      <c r="D775">
        <v>128.5</v>
      </c>
      <c r="E775">
        <v>134.18</v>
      </c>
      <c r="F775">
        <v>130.96</v>
      </c>
      <c r="G775">
        <v>69.33</v>
      </c>
      <c r="H775">
        <v>75.03</v>
      </c>
      <c r="I775">
        <v>77.97</v>
      </c>
      <c r="J775">
        <v>107.04</v>
      </c>
      <c r="K775">
        <v>25.25</v>
      </c>
      <c r="L775">
        <v>68736.904810964072</v>
      </c>
      <c r="M775">
        <v>52972.178374291107</v>
      </c>
      <c r="N775">
        <v>13.645</v>
      </c>
      <c r="O775">
        <v>5.3870000000000001E-2</v>
      </c>
      <c r="P775">
        <v>2.4849999999999999</v>
      </c>
      <c r="Q775">
        <v>99.72</v>
      </c>
      <c r="R775">
        <v>42.4</v>
      </c>
      <c r="S775">
        <v>150.15</v>
      </c>
    </row>
    <row r="776" spans="1:19" x14ac:dyDescent="0.3">
      <c r="A776" s="2">
        <v>45007</v>
      </c>
      <c r="B776">
        <v>93.8</v>
      </c>
      <c r="C776">
        <v>112.06</v>
      </c>
      <c r="D776">
        <v>128.5</v>
      </c>
      <c r="E776">
        <v>134.18</v>
      </c>
      <c r="F776">
        <v>130.96</v>
      </c>
      <c r="G776">
        <v>70.900000000000006</v>
      </c>
      <c r="H776">
        <v>76.38</v>
      </c>
      <c r="I776">
        <v>78.349999999999994</v>
      </c>
      <c r="J776">
        <v>104.59</v>
      </c>
      <c r="K776">
        <v>25.3</v>
      </c>
      <c r="L776">
        <v>75243.44</v>
      </c>
      <c r="M776">
        <v>53902.63</v>
      </c>
      <c r="N776">
        <v>12.64</v>
      </c>
      <c r="O776">
        <v>5.4829999999999997E-2</v>
      </c>
      <c r="P776">
        <v>2.3069999999999999</v>
      </c>
      <c r="Q776">
        <v>97.4</v>
      </c>
      <c r="R776">
        <v>39.975000000000001</v>
      </c>
      <c r="S776">
        <v>149.85</v>
      </c>
    </row>
    <row r="777" spans="1:19" x14ac:dyDescent="0.3">
      <c r="A777" s="2">
        <v>45008</v>
      </c>
      <c r="B777">
        <v>93.8</v>
      </c>
      <c r="C777">
        <v>112.06</v>
      </c>
      <c r="D777">
        <v>128.5</v>
      </c>
      <c r="E777">
        <v>134.18</v>
      </c>
      <c r="F777">
        <v>130.96</v>
      </c>
      <c r="G777">
        <v>69.959999999999994</v>
      </c>
      <c r="H777">
        <v>75.91</v>
      </c>
      <c r="I777">
        <v>78.13</v>
      </c>
      <c r="J777">
        <v>103.41</v>
      </c>
      <c r="K777">
        <v>25.75</v>
      </c>
      <c r="L777">
        <v>75585.23</v>
      </c>
      <c r="M777">
        <v>53947.82</v>
      </c>
      <c r="N777">
        <v>13.335000000000001</v>
      </c>
      <c r="O777">
        <v>5.5219999999999998E-2</v>
      </c>
      <c r="P777">
        <v>2.2829999999999999</v>
      </c>
      <c r="Q777">
        <v>96.53</v>
      </c>
      <c r="R777">
        <v>43.185000000000002</v>
      </c>
      <c r="S777">
        <v>147.94999999999999</v>
      </c>
    </row>
    <row r="778" spans="1:19" x14ac:dyDescent="0.3">
      <c r="A778" s="2">
        <v>45009</v>
      </c>
      <c r="B778">
        <v>92</v>
      </c>
      <c r="C778">
        <v>108.94</v>
      </c>
      <c r="D778">
        <v>123.68</v>
      </c>
      <c r="E778">
        <v>130.07</v>
      </c>
      <c r="F778">
        <v>130.44</v>
      </c>
      <c r="G778">
        <v>69.260000000000005</v>
      </c>
      <c r="H778">
        <v>74.989999999999995</v>
      </c>
      <c r="I778">
        <v>77.86</v>
      </c>
      <c r="J778">
        <v>103.53</v>
      </c>
      <c r="K778">
        <v>25.5</v>
      </c>
      <c r="L778">
        <v>74695.039999999994</v>
      </c>
      <c r="M778">
        <v>53880.75</v>
      </c>
      <c r="N778">
        <v>12.7</v>
      </c>
      <c r="O778">
        <v>5.5039999999999999E-2</v>
      </c>
      <c r="P778">
        <v>2.3610000000000002</v>
      </c>
      <c r="Q778">
        <v>97.49</v>
      </c>
      <c r="R778">
        <v>41.094999999999999</v>
      </c>
      <c r="S778">
        <v>142.94999999999999</v>
      </c>
    </row>
    <row r="779" spans="1:19" x14ac:dyDescent="0.3">
      <c r="A779" s="2">
        <v>45012</v>
      </c>
      <c r="B779">
        <v>92</v>
      </c>
      <c r="C779">
        <v>108.94</v>
      </c>
      <c r="D779">
        <v>123.68</v>
      </c>
      <c r="E779">
        <v>130.07</v>
      </c>
      <c r="F779">
        <v>130.44</v>
      </c>
      <c r="G779">
        <v>72.81</v>
      </c>
      <c r="H779">
        <v>78.12</v>
      </c>
      <c r="I779">
        <v>78.400000000000006</v>
      </c>
      <c r="J779">
        <v>105.8</v>
      </c>
      <c r="K779">
        <v>24.15</v>
      </c>
      <c r="L779">
        <v>75283.679999999993</v>
      </c>
      <c r="M779">
        <v>54084.36</v>
      </c>
      <c r="N779">
        <v>12.525</v>
      </c>
      <c r="O779">
        <v>5.457E-2</v>
      </c>
      <c r="P779">
        <v>2.0880000000000001</v>
      </c>
      <c r="Q779">
        <v>98.05</v>
      </c>
      <c r="R779">
        <v>42.53</v>
      </c>
      <c r="S779">
        <v>134.15</v>
      </c>
    </row>
    <row r="780" spans="1:19" x14ac:dyDescent="0.3">
      <c r="A780" s="2">
        <v>45013</v>
      </c>
      <c r="B780">
        <v>92</v>
      </c>
      <c r="C780">
        <v>108.94</v>
      </c>
      <c r="D780">
        <v>123.68</v>
      </c>
      <c r="E780">
        <v>130.07</v>
      </c>
      <c r="F780">
        <v>130.44</v>
      </c>
      <c r="G780">
        <v>73.2</v>
      </c>
      <c r="H780">
        <v>78.650000000000006</v>
      </c>
      <c r="I780">
        <v>78.45</v>
      </c>
      <c r="J780">
        <v>107.12</v>
      </c>
      <c r="K780">
        <v>24.05</v>
      </c>
      <c r="L780">
        <v>76047.34</v>
      </c>
      <c r="M780">
        <v>55586.66</v>
      </c>
      <c r="N780">
        <v>12.505000000000001</v>
      </c>
      <c r="O780">
        <v>5.5059999999999998E-2</v>
      </c>
      <c r="P780">
        <v>2.0299999999999998</v>
      </c>
      <c r="Q780">
        <v>99.1</v>
      </c>
      <c r="R780">
        <v>42.75</v>
      </c>
      <c r="S780">
        <v>127.95</v>
      </c>
    </row>
    <row r="781" spans="1:19" x14ac:dyDescent="0.3">
      <c r="A781" s="2">
        <v>45014</v>
      </c>
      <c r="B781">
        <v>92</v>
      </c>
      <c r="C781">
        <v>108.94</v>
      </c>
      <c r="D781">
        <v>123.68</v>
      </c>
      <c r="E781">
        <v>130.07</v>
      </c>
      <c r="F781">
        <v>130.44</v>
      </c>
      <c r="G781">
        <v>72.97</v>
      </c>
      <c r="H781">
        <v>78.28</v>
      </c>
      <c r="I781">
        <v>78.41</v>
      </c>
      <c r="J781">
        <v>108.96</v>
      </c>
      <c r="K781">
        <v>24</v>
      </c>
      <c r="L781">
        <v>76480.11</v>
      </c>
      <c r="M781">
        <v>55401.51</v>
      </c>
      <c r="N781">
        <v>12.535</v>
      </c>
      <c r="O781">
        <v>5.5199999999999999E-2</v>
      </c>
      <c r="P781">
        <v>1.9910000000000001</v>
      </c>
      <c r="Q781">
        <v>101.67</v>
      </c>
      <c r="R781">
        <v>42.805</v>
      </c>
      <c r="S781">
        <v>128.6</v>
      </c>
    </row>
    <row r="782" spans="1:19" x14ac:dyDescent="0.3">
      <c r="A782" s="2">
        <v>45015</v>
      </c>
      <c r="B782">
        <v>92</v>
      </c>
      <c r="C782">
        <v>108.94</v>
      </c>
      <c r="D782">
        <v>123.68</v>
      </c>
      <c r="E782">
        <v>130.07</v>
      </c>
      <c r="F782">
        <v>130.44</v>
      </c>
      <c r="G782">
        <v>74.37</v>
      </c>
      <c r="H782">
        <v>79.27</v>
      </c>
      <c r="I782">
        <v>78.47</v>
      </c>
      <c r="J782">
        <v>109.49</v>
      </c>
      <c r="K782">
        <v>24.55</v>
      </c>
      <c r="L782">
        <v>76704.63</v>
      </c>
      <c r="M782">
        <v>55942.49</v>
      </c>
      <c r="N782">
        <v>12.7</v>
      </c>
      <c r="O782">
        <v>5.6099999999999997E-2</v>
      </c>
      <c r="P782">
        <v>2.1040000000000001</v>
      </c>
      <c r="Q782">
        <v>102.73</v>
      </c>
      <c r="R782">
        <v>43.609000000000002</v>
      </c>
      <c r="S782">
        <v>141.61602674307539</v>
      </c>
    </row>
    <row r="783" spans="1:19" x14ac:dyDescent="0.3">
      <c r="A783" s="2">
        <v>45016</v>
      </c>
      <c r="B783">
        <v>94.51</v>
      </c>
      <c r="C783">
        <v>111.41</v>
      </c>
      <c r="D783">
        <v>128.84</v>
      </c>
      <c r="E783">
        <v>135.08000000000001</v>
      </c>
      <c r="F783">
        <v>128.99</v>
      </c>
      <c r="G783">
        <v>75.67</v>
      </c>
      <c r="H783">
        <v>79.77</v>
      </c>
      <c r="I783">
        <v>78.489999999999995</v>
      </c>
      <c r="J783">
        <v>109.66</v>
      </c>
      <c r="K783">
        <v>24.7</v>
      </c>
      <c r="L783">
        <v>76100.17</v>
      </c>
      <c r="M783">
        <v>54573.22</v>
      </c>
      <c r="N783">
        <v>13.515000000000001</v>
      </c>
      <c r="O783">
        <v>5.6160000000000002E-2</v>
      </c>
      <c r="P783">
        <v>2.2160000000000002</v>
      </c>
      <c r="Q783">
        <v>104.29</v>
      </c>
      <c r="R783">
        <v>47.844999999999999</v>
      </c>
      <c r="S783">
        <v>127.95</v>
      </c>
    </row>
    <row r="784" spans="1:19" x14ac:dyDescent="0.3">
      <c r="A784" s="2">
        <v>45019</v>
      </c>
      <c r="B784">
        <v>94.51</v>
      </c>
      <c r="C784">
        <v>111.41</v>
      </c>
      <c r="D784">
        <v>128.84</v>
      </c>
      <c r="E784">
        <v>135.08000000000001</v>
      </c>
      <c r="F784">
        <v>128.99</v>
      </c>
      <c r="G784">
        <v>80.42</v>
      </c>
      <c r="H784">
        <v>84.93</v>
      </c>
      <c r="I784">
        <v>84.69</v>
      </c>
      <c r="J784">
        <v>116.13</v>
      </c>
      <c r="K784">
        <v>24.4</v>
      </c>
      <c r="L784">
        <v>76614.960000000006</v>
      </c>
      <c r="M784">
        <v>55046.23</v>
      </c>
      <c r="N784">
        <v>12.75</v>
      </c>
      <c r="O784">
        <v>5.6000000000000001E-2</v>
      </c>
      <c r="P784">
        <v>2.097</v>
      </c>
      <c r="Q784">
        <v>105.42</v>
      </c>
      <c r="R784">
        <v>51.365000000000002</v>
      </c>
      <c r="S784">
        <v>133.85</v>
      </c>
    </row>
    <row r="785" spans="1:19" x14ac:dyDescent="0.3">
      <c r="A785" s="2">
        <v>45020</v>
      </c>
      <c r="B785">
        <v>94.51</v>
      </c>
      <c r="C785">
        <v>111.41</v>
      </c>
      <c r="D785">
        <v>128.84</v>
      </c>
      <c r="E785">
        <v>135.08000000000001</v>
      </c>
      <c r="F785">
        <v>128.99</v>
      </c>
      <c r="G785">
        <v>80.709999999999994</v>
      </c>
      <c r="H785">
        <v>84.94</v>
      </c>
      <c r="I785">
        <v>84.47</v>
      </c>
      <c r="J785">
        <v>115.02</v>
      </c>
      <c r="K785">
        <v>24.75</v>
      </c>
      <c r="L785">
        <v>77458.58</v>
      </c>
      <c r="M785">
        <v>57274.81</v>
      </c>
      <c r="N785">
        <v>13.16</v>
      </c>
      <c r="O785">
        <v>5.5739999999999998E-2</v>
      </c>
      <c r="P785">
        <v>2.1059999999999999</v>
      </c>
      <c r="Q785">
        <v>106.04</v>
      </c>
      <c r="R785">
        <v>46.57</v>
      </c>
      <c r="S785">
        <v>141.61602674307539</v>
      </c>
    </row>
    <row r="786" spans="1:19" x14ac:dyDescent="0.3">
      <c r="A786" s="2">
        <v>45021</v>
      </c>
      <c r="B786">
        <v>94.51</v>
      </c>
      <c r="C786">
        <v>111.41</v>
      </c>
      <c r="D786">
        <v>128.84</v>
      </c>
      <c r="E786">
        <v>135.08000000000001</v>
      </c>
      <c r="F786">
        <v>128.99</v>
      </c>
      <c r="G786">
        <v>80.61</v>
      </c>
      <c r="H786">
        <v>84.99</v>
      </c>
      <c r="I786">
        <v>84.59</v>
      </c>
      <c r="J786">
        <v>116.99</v>
      </c>
      <c r="K786">
        <v>21.274702495201531</v>
      </c>
      <c r="L786">
        <v>76656.42</v>
      </c>
      <c r="M786">
        <v>57793.43</v>
      </c>
      <c r="N786">
        <v>12.68</v>
      </c>
      <c r="O786">
        <v>5.5399999999999998E-2</v>
      </c>
      <c r="P786">
        <v>2.1549999999999998</v>
      </c>
      <c r="Q786">
        <v>106.22</v>
      </c>
      <c r="R786">
        <v>44.575000000000003</v>
      </c>
      <c r="S786">
        <v>136.5</v>
      </c>
    </row>
    <row r="787" spans="1:19" x14ac:dyDescent="0.3">
      <c r="A787" s="2">
        <v>45022</v>
      </c>
      <c r="B787">
        <v>95.97</v>
      </c>
      <c r="C787">
        <v>113.65</v>
      </c>
      <c r="D787">
        <v>129.24</v>
      </c>
      <c r="E787">
        <v>133.76</v>
      </c>
      <c r="F787">
        <v>127.96</v>
      </c>
      <c r="G787">
        <v>80.7</v>
      </c>
      <c r="H787">
        <v>85.12</v>
      </c>
      <c r="I787">
        <v>84.99</v>
      </c>
      <c r="J787">
        <v>115.05</v>
      </c>
      <c r="K787">
        <v>24.4</v>
      </c>
      <c r="L787">
        <v>77113.7</v>
      </c>
      <c r="M787">
        <v>58293.51</v>
      </c>
      <c r="N787">
        <v>12.625</v>
      </c>
      <c r="O787">
        <v>5.4769999999999999E-2</v>
      </c>
      <c r="P787">
        <v>2.0110000000000001</v>
      </c>
      <c r="Q787">
        <v>108.25</v>
      </c>
      <c r="R787">
        <v>43.125</v>
      </c>
      <c r="S787">
        <v>150.85</v>
      </c>
    </row>
    <row r="788" spans="1:19" x14ac:dyDescent="0.3">
      <c r="A788" s="2">
        <v>45023</v>
      </c>
      <c r="B788">
        <v>87.953183520599239</v>
      </c>
      <c r="C788">
        <v>113.3531554307116</v>
      </c>
      <c r="D788">
        <v>134.97180711610491</v>
      </c>
      <c r="E788">
        <v>144.35149446494461</v>
      </c>
      <c r="F788">
        <v>123.75970973782771</v>
      </c>
      <c r="G788">
        <v>72.345468607825296</v>
      </c>
      <c r="H788">
        <v>76.283020072992699</v>
      </c>
      <c r="I788">
        <v>74.752492970946577</v>
      </c>
      <c r="J788">
        <v>80.871012183692585</v>
      </c>
      <c r="K788">
        <v>21.274702495201531</v>
      </c>
      <c r="L788">
        <v>68736.904810964072</v>
      </c>
      <c r="M788">
        <v>52972.178374291107</v>
      </c>
      <c r="N788">
        <v>17.62252908067542</v>
      </c>
      <c r="O788">
        <v>5.4919999999999997E-2</v>
      </c>
      <c r="P788">
        <v>3.697999090081892</v>
      </c>
      <c r="Q788">
        <v>112.7561105904405</v>
      </c>
      <c r="R788">
        <v>57.384855947955387</v>
      </c>
      <c r="S788">
        <v>141.61602674307539</v>
      </c>
    </row>
    <row r="789" spans="1:19" x14ac:dyDescent="0.3">
      <c r="A789" s="2">
        <v>45026</v>
      </c>
      <c r="B789">
        <v>87.953183520599239</v>
      </c>
      <c r="C789">
        <v>113.3531554307116</v>
      </c>
      <c r="D789">
        <v>134.97180711610491</v>
      </c>
      <c r="E789">
        <v>144.35149446494461</v>
      </c>
      <c r="F789">
        <v>123.75970973782771</v>
      </c>
      <c r="G789">
        <v>79.739999999999995</v>
      </c>
      <c r="H789">
        <v>84.18</v>
      </c>
      <c r="I789">
        <v>84.28</v>
      </c>
      <c r="J789">
        <v>114.54</v>
      </c>
      <c r="K789">
        <v>21.274702495201531</v>
      </c>
      <c r="L789">
        <v>68736.904810964072</v>
      </c>
      <c r="M789">
        <v>52972.178374291107</v>
      </c>
      <c r="N789">
        <v>12.625</v>
      </c>
      <c r="O789">
        <v>5.3999999999999999E-2</v>
      </c>
      <c r="P789">
        <v>2.1720000000000002</v>
      </c>
      <c r="Q789">
        <v>106.38</v>
      </c>
      <c r="R789">
        <v>43.125</v>
      </c>
      <c r="S789">
        <v>152.5</v>
      </c>
    </row>
    <row r="790" spans="1:19" x14ac:dyDescent="0.3">
      <c r="A790" s="2">
        <v>45027</v>
      </c>
      <c r="B790">
        <v>95.97</v>
      </c>
      <c r="C790">
        <v>113.65</v>
      </c>
      <c r="D790">
        <v>129.24</v>
      </c>
      <c r="E790">
        <v>133.76</v>
      </c>
      <c r="F790">
        <v>127.96</v>
      </c>
      <c r="G790">
        <v>81.53</v>
      </c>
      <c r="H790">
        <v>85.61</v>
      </c>
      <c r="I790">
        <v>85.19</v>
      </c>
      <c r="J790">
        <v>115.35</v>
      </c>
      <c r="K790">
        <v>24.2</v>
      </c>
      <c r="L790">
        <v>77990.539999999994</v>
      </c>
      <c r="M790">
        <v>60196.480000000003</v>
      </c>
      <c r="N790">
        <v>12.57</v>
      </c>
      <c r="O790">
        <v>5.432E-2</v>
      </c>
      <c r="P790">
        <v>2.1859999999999999</v>
      </c>
      <c r="Q790">
        <v>106.13</v>
      </c>
      <c r="R790">
        <v>43.69</v>
      </c>
      <c r="S790">
        <v>155.94999999999999</v>
      </c>
    </row>
    <row r="791" spans="1:19" x14ac:dyDescent="0.3">
      <c r="A791" s="2">
        <v>45028</v>
      </c>
      <c r="B791">
        <v>95.97</v>
      </c>
      <c r="C791">
        <v>113.65</v>
      </c>
      <c r="D791">
        <v>129.24</v>
      </c>
      <c r="E791">
        <v>133.76</v>
      </c>
      <c r="F791">
        <v>127.96</v>
      </c>
      <c r="G791">
        <v>83.26</v>
      </c>
      <c r="H791">
        <v>87.33</v>
      </c>
      <c r="I791">
        <v>86.35</v>
      </c>
      <c r="J791">
        <v>115.23</v>
      </c>
      <c r="K791">
        <v>24.3</v>
      </c>
      <c r="L791">
        <v>77740.69</v>
      </c>
      <c r="M791">
        <v>60187.32</v>
      </c>
      <c r="N791">
        <v>12.625</v>
      </c>
      <c r="O791">
        <v>5.4339999999999999E-2</v>
      </c>
      <c r="P791">
        <v>2.093</v>
      </c>
      <c r="Q791">
        <v>107.09</v>
      </c>
      <c r="R791">
        <v>42.88</v>
      </c>
      <c r="S791">
        <v>155.69999999999999</v>
      </c>
    </row>
    <row r="792" spans="1:19" x14ac:dyDescent="0.3">
      <c r="A792" s="2">
        <v>45029</v>
      </c>
      <c r="B792">
        <v>95.97</v>
      </c>
      <c r="C792">
        <v>113.65</v>
      </c>
      <c r="D792">
        <v>129.24</v>
      </c>
      <c r="E792">
        <v>133.76</v>
      </c>
      <c r="F792">
        <v>127.96</v>
      </c>
      <c r="G792">
        <v>82.16</v>
      </c>
      <c r="H792">
        <v>86.09</v>
      </c>
      <c r="I792">
        <v>85.61</v>
      </c>
      <c r="J792">
        <v>115.77</v>
      </c>
      <c r="K792">
        <v>24.5</v>
      </c>
      <c r="L792">
        <v>78462.77</v>
      </c>
      <c r="M792">
        <v>62052.15</v>
      </c>
      <c r="N792">
        <v>12.605</v>
      </c>
      <c r="O792">
        <v>5.5379999999999999E-2</v>
      </c>
      <c r="P792">
        <v>2.0070000000000001</v>
      </c>
      <c r="Q792">
        <v>107.51</v>
      </c>
      <c r="R792">
        <v>42.094999999999999</v>
      </c>
      <c r="S792">
        <v>154.80000000000001</v>
      </c>
    </row>
    <row r="793" spans="1:19" x14ac:dyDescent="0.3">
      <c r="A793" s="2">
        <v>45030</v>
      </c>
      <c r="B793">
        <v>89.92</v>
      </c>
      <c r="C793">
        <v>105.11</v>
      </c>
      <c r="D793">
        <v>119.93</v>
      </c>
      <c r="E793">
        <v>122.4</v>
      </c>
      <c r="F793">
        <v>126.04</v>
      </c>
      <c r="G793">
        <v>82.52</v>
      </c>
      <c r="H793">
        <v>86.31</v>
      </c>
      <c r="I793">
        <v>85.64</v>
      </c>
      <c r="J793">
        <v>116.05</v>
      </c>
      <c r="K793">
        <v>24.8</v>
      </c>
      <c r="L793">
        <v>78870.36</v>
      </c>
      <c r="M793">
        <v>60085.69</v>
      </c>
      <c r="N793">
        <v>12.593</v>
      </c>
      <c r="O793">
        <v>5.5230000000000001E-2</v>
      </c>
      <c r="P793">
        <v>2.1139999999999999</v>
      </c>
      <c r="Q793">
        <v>107.51</v>
      </c>
      <c r="R793">
        <v>41.15</v>
      </c>
      <c r="S793">
        <v>141.61602674307539</v>
      </c>
    </row>
    <row r="794" spans="1:19" x14ac:dyDescent="0.3">
      <c r="A794" s="2">
        <v>45033</v>
      </c>
      <c r="B794">
        <v>89.92</v>
      </c>
      <c r="C794">
        <v>105.11</v>
      </c>
      <c r="D794">
        <v>119.93</v>
      </c>
      <c r="E794">
        <v>122.4</v>
      </c>
      <c r="F794">
        <v>126.04</v>
      </c>
      <c r="G794">
        <v>80.83</v>
      </c>
      <c r="H794">
        <v>84.76</v>
      </c>
      <c r="I794">
        <v>84.95</v>
      </c>
      <c r="J794">
        <v>114.7</v>
      </c>
      <c r="K794">
        <v>25.55</v>
      </c>
      <c r="L794">
        <v>78723.7</v>
      </c>
      <c r="M794">
        <v>60769.72</v>
      </c>
      <c r="N794">
        <v>12.49</v>
      </c>
      <c r="O794">
        <v>5.4579999999999997E-2</v>
      </c>
      <c r="P794">
        <v>2.2749999999999999</v>
      </c>
      <c r="Q794">
        <v>107.99</v>
      </c>
      <c r="R794">
        <v>41.125</v>
      </c>
      <c r="S794">
        <v>154.1</v>
      </c>
    </row>
    <row r="795" spans="1:19" x14ac:dyDescent="0.3">
      <c r="A795" s="2">
        <v>45034</v>
      </c>
      <c r="B795">
        <v>89.92</v>
      </c>
      <c r="C795">
        <v>105.11</v>
      </c>
      <c r="D795">
        <v>119.93</v>
      </c>
      <c r="E795">
        <v>122.4</v>
      </c>
      <c r="F795">
        <v>126.04</v>
      </c>
      <c r="G795">
        <v>80.86</v>
      </c>
      <c r="H795">
        <v>84.77</v>
      </c>
      <c r="I795">
        <v>85</v>
      </c>
      <c r="J795">
        <v>116.94</v>
      </c>
      <c r="K795">
        <v>25.7</v>
      </c>
      <c r="L795">
        <v>79294.759999999995</v>
      </c>
      <c r="M795">
        <v>64354.04</v>
      </c>
      <c r="N795">
        <v>12.85</v>
      </c>
      <c r="O795">
        <v>5.5039999999999999E-2</v>
      </c>
      <c r="P795">
        <v>2.3660000000000001</v>
      </c>
      <c r="Q795">
        <v>107.49</v>
      </c>
      <c r="R795">
        <v>42.72</v>
      </c>
      <c r="S795">
        <v>153.85</v>
      </c>
    </row>
    <row r="796" spans="1:19" x14ac:dyDescent="0.3">
      <c r="A796" s="2">
        <v>45035</v>
      </c>
      <c r="B796">
        <v>89.92</v>
      </c>
      <c r="C796">
        <v>105.11</v>
      </c>
      <c r="D796">
        <v>119.93</v>
      </c>
      <c r="E796">
        <v>122.4</v>
      </c>
      <c r="F796">
        <v>126.04</v>
      </c>
      <c r="G796">
        <v>79.16</v>
      </c>
      <c r="H796">
        <v>83.12</v>
      </c>
      <c r="I796">
        <v>84.36</v>
      </c>
      <c r="J796">
        <v>116.57</v>
      </c>
      <c r="K796">
        <v>25.8</v>
      </c>
      <c r="L796">
        <v>78796.86</v>
      </c>
      <c r="M796">
        <v>62274.45</v>
      </c>
      <c r="N796">
        <v>12.244999999999999</v>
      </c>
      <c r="O796">
        <v>5.4949999999999999E-2</v>
      </c>
      <c r="P796">
        <v>2.222</v>
      </c>
      <c r="Q796">
        <v>108.34</v>
      </c>
      <c r="R796">
        <v>40.299999999999997</v>
      </c>
      <c r="S796">
        <v>152.85</v>
      </c>
    </row>
    <row r="797" spans="1:19" x14ac:dyDescent="0.3">
      <c r="A797" s="2">
        <v>45036</v>
      </c>
      <c r="B797">
        <v>89.92</v>
      </c>
      <c r="C797">
        <v>105.11</v>
      </c>
      <c r="D797">
        <v>119.93</v>
      </c>
      <c r="E797">
        <v>122.4</v>
      </c>
      <c r="F797">
        <v>126.04</v>
      </c>
      <c r="G797">
        <v>77.290000000000006</v>
      </c>
      <c r="H797">
        <v>81.099999999999994</v>
      </c>
      <c r="I797">
        <v>83.55</v>
      </c>
      <c r="J797">
        <v>115.64</v>
      </c>
      <c r="K797">
        <v>25.45</v>
      </c>
      <c r="L797">
        <v>78883.259999999995</v>
      </c>
      <c r="M797">
        <v>62912.97</v>
      </c>
      <c r="N797">
        <v>12.234999999999999</v>
      </c>
      <c r="O797">
        <v>5.5410000000000001E-2</v>
      </c>
      <c r="P797">
        <v>2.2490000000000001</v>
      </c>
      <c r="Q797">
        <v>107.76</v>
      </c>
      <c r="R797">
        <v>40.564999999999998</v>
      </c>
      <c r="S797">
        <v>153.85</v>
      </c>
    </row>
    <row r="798" spans="1:19" x14ac:dyDescent="0.3">
      <c r="A798" s="2">
        <v>45037</v>
      </c>
      <c r="B798">
        <v>90.45</v>
      </c>
      <c r="C798">
        <v>107.23</v>
      </c>
      <c r="D798">
        <v>120.27</v>
      </c>
      <c r="E798">
        <v>126.95</v>
      </c>
      <c r="F798">
        <v>125.23</v>
      </c>
      <c r="G798">
        <v>77.87</v>
      </c>
      <c r="H798">
        <v>81.66</v>
      </c>
      <c r="I798">
        <v>83.71</v>
      </c>
      <c r="J798">
        <v>116.01</v>
      </c>
      <c r="K798">
        <v>25.55</v>
      </c>
      <c r="L798">
        <v>77910.960000000006</v>
      </c>
      <c r="M798">
        <v>61981.48</v>
      </c>
      <c r="N798">
        <v>11.88</v>
      </c>
      <c r="O798">
        <v>5.5199999999999999E-2</v>
      </c>
      <c r="P798">
        <v>2.2330000000000001</v>
      </c>
      <c r="Q798">
        <v>108.35</v>
      </c>
      <c r="R798">
        <v>40.164999999999999</v>
      </c>
      <c r="S798">
        <v>153.69999999999999</v>
      </c>
    </row>
    <row r="799" spans="1:19" x14ac:dyDescent="0.3">
      <c r="A799" s="2">
        <v>45040</v>
      </c>
      <c r="B799">
        <v>90.45</v>
      </c>
      <c r="C799">
        <v>107.23</v>
      </c>
      <c r="D799">
        <v>120.27</v>
      </c>
      <c r="E799">
        <v>126.95</v>
      </c>
      <c r="F799">
        <v>125.23</v>
      </c>
      <c r="G799">
        <v>78.760000000000005</v>
      </c>
      <c r="H799">
        <v>82.73</v>
      </c>
      <c r="I799">
        <v>83.9</v>
      </c>
      <c r="J799">
        <v>118.2</v>
      </c>
      <c r="K799">
        <v>25.25</v>
      </c>
      <c r="L799">
        <v>78121.37</v>
      </c>
      <c r="M799">
        <v>62633.33</v>
      </c>
      <c r="N799">
        <v>11.875</v>
      </c>
      <c r="O799">
        <v>5.5140000000000002E-2</v>
      </c>
      <c r="P799">
        <v>2.2730000000000001</v>
      </c>
      <c r="Q799">
        <v>107.93</v>
      </c>
      <c r="R799">
        <v>39.924999999999997</v>
      </c>
      <c r="S799">
        <v>152.85</v>
      </c>
    </row>
    <row r="800" spans="1:19" x14ac:dyDescent="0.3">
      <c r="A800" s="2">
        <v>45041</v>
      </c>
      <c r="B800">
        <v>90.45</v>
      </c>
      <c r="C800">
        <v>107.23</v>
      </c>
      <c r="D800">
        <v>120.27</v>
      </c>
      <c r="E800">
        <v>126.95</v>
      </c>
      <c r="F800">
        <v>125.23</v>
      </c>
      <c r="G800">
        <v>77.069999999999993</v>
      </c>
      <c r="H800">
        <v>80.77</v>
      </c>
      <c r="I800">
        <v>83.62</v>
      </c>
      <c r="J800">
        <v>116.52</v>
      </c>
      <c r="K800">
        <v>25.15</v>
      </c>
      <c r="L800">
        <v>77891.13</v>
      </c>
      <c r="M800">
        <v>62031.25</v>
      </c>
      <c r="N800">
        <v>11.845000000000001</v>
      </c>
      <c r="O800">
        <v>5.4489999999999997E-2</v>
      </c>
      <c r="P800">
        <v>2.3069999999999999</v>
      </c>
      <c r="Q800">
        <v>106.34</v>
      </c>
      <c r="R800">
        <v>39.835000000000001</v>
      </c>
      <c r="S800">
        <v>152.19999999999999</v>
      </c>
    </row>
    <row r="801" spans="1:19" x14ac:dyDescent="0.3">
      <c r="A801" s="2">
        <v>45042</v>
      </c>
      <c r="B801">
        <v>90.45</v>
      </c>
      <c r="C801">
        <v>107.23</v>
      </c>
      <c r="D801">
        <v>120.27</v>
      </c>
      <c r="E801">
        <v>126.95</v>
      </c>
      <c r="F801">
        <v>125.23</v>
      </c>
      <c r="G801">
        <v>74.3</v>
      </c>
      <c r="H801">
        <v>77.69</v>
      </c>
      <c r="I801">
        <v>83.23</v>
      </c>
      <c r="J801">
        <v>115.45</v>
      </c>
      <c r="K801">
        <v>25.35</v>
      </c>
      <c r="L801">
        <v>78122.12</v>
      </c>
      <c r="M801">
        <v>62335.59</v>
      </c>
      <c r="N801">
        <v>11.64</v>
      </c>
      <c r="O801">
        <v>5.4289999999999998E-2</v>
      </c>
      <c r="P801">
        <v>2.117</v>
      </c>
      <c r="Q801">
        <v>104.61</v>
      </c>
      <c r="R801">
        <v>38.549999999999997</v>
      </c>
      <c r="S801">
        <v>152.19999999999999</v>
      </c>
    </row>
    <row r="802" spans="1:19" x14ac:dyDescent="0.3">
      <c r="A802" s="2">
        <v>45043</v>
      </c>
      <c r="B802">
        <v>90.45</v>
      </c>
      <c r="C802">
        <v>107.23</v>
      </c>
      <c r="D802">
        <v>120.27</v>
      </c>
      <c r="E802">
        <v>126.95</v>
      </c>
      <c r="F802">
        <v>125.23</v>
      </c>
      <c r="G802">
        <v>74.760000000000005</v>
      </c>
      <c r="H802">
        <v>78.37</v>
      </c>
      <c r="I802">
        <v>83.32</v>
      </c>
      <c r="J802">
        <v>116.83</v>
      </c>
      <c r="K802">
        <v>25.4</v>
      </c>
      <c r="L802">
        <v>68736.904810964072</v>
      </c>
      <c r="M802">
        <v>52972.178374291107</v>
      </c>
      <c r="N802">
        <v>11.595000000000001</v>
      </c>
      <c r="O802">
        <v>5.4629999999999998E-2</v>
      </c>
      <c r="P802">
        <v>2.355</v>
      </c>
      <c r="Q802">
        <v>107.42</v>
      </c>
      <c r="R802">
        <v>39.039000000000001</v>
      </c>
      <c r="S802">
        <v>152.19999999999999</v>
      </c>
    </row>
    <row r="803" spans="1:19" x14ac:dyDescent="0.3">
      <c r="A803" s="2">
        <v>45044</v>
      </c>
      <c r="B803">
        <v>91.28</v>
      </c>
      <c r="C803">
        <v>108.09</v>
      </c>
      <c r="D803">
        <v>122.2</v>
      </c>
      <c r="E803">
        <v>127.42</v>
      </c>
      <c r="F803">
        <v>125.82</v>
      </c>
      <c r="G803">
        <v>76.78</v>
      </c>
      <c r="H803">
        <v>79.540000000000006</v>
      </c>
      <c r="I803">
        <v>83.41</v>
      </c>
      <c r="J803">
        <v>118.34</v>
      </c>
      <c r="K803">
        <v>26</v>
      </c>
      <c r="L803">
        <v>78218.37</v>
      </c>
      <c r="M803">
        <v>62522.73</v>
      </c>
      <c r="N803">
        <v>11.55</v>
      </c>
      <c r="O803">
        <v>5.4649999999999997E-2</v>
      </c>
      <c r="P803">
        <v>2.41</v>
      </c>
      <c r="Q803">
        <v>108.93</v>
      </c>
      <c r="R803">
        <v>38.54</v>
      </c>
      <c r="S803">
        <v>156.55000000000001</v>
      </c>
    </row>
    <row r="804" spans="1:19" x14ac:dyDescent="0.3">
      <c r="A804" s="2">
        <v>45047</v>
      </c>
      <c r="B804">
        <v>87.953183520599239</v>
      </c>
      <c r="C804">
        <v>113.3531554307116</v>
      </c>
      <c r="D804">
        <v>134.97180711610491</v>
      </c>
      <c r="E804">
        <v>144.35149446494461</v>
      </c>
      <c r="F804">
        <v>123.75970973782771</v>
      </c>
      <c r="G804">
        <v>75.66</v>
      </c>
      <c r="H804">
        <v>79.31</v>
      </c>
      <c r="I804">
        <v>79.239999999999995</v>
      </c>
      <c r="J804">
        <v>114.67</v>
      </c>
      <c r="K804">
        <v>21.274702495201531</v>
      </c>
      <c r="L804">
        <v>68736.904810964072</v>
      </c>
      <c r="M804">
        <v>52972.178374291107</v>
      </c>
      <c r="N804">
        <v>11.55</v>
      </c>
      <c r="O804">
        <v>5.4330000000000003E-2</v>
      </c>
      <c r="P804">
        <v>2.3180000000000001</v>
      </c>
      <c r="Q804">
        <v>108.62</v>
      </c>
      <c r="R804">
        <v>38.835000000000001</v>
      </c>
      <c r="S804">
        <v>141.61602674307539</v>
      </c>
    </row>
    <row r="805" spans="1:19" x14ac:dyDescent="0.3">
      <c r="A805" s="2">
        <v>45048</v>
      </c>
      <c r="B805">
        <v>91.28</v>
      </c>
      <c r="C805">
        <v>108.09</v>
      </c>
      <c r="D805">
        <v>122.2</v>
      </c>
      <c r="E805">
        <v>127.42</v>
      </c>
      <c r="F805">
        <v>125.82</v>
      </c>
      <c r="G805">
        <v>71.66</v>
      </c>
      <c r="H805">
        <v>75.319999999999993</v>
      </c>
      <c r="I805">
        <v>75.010000000000005</v>
      </c>
      <c r="J805">
        <v>110.1</v>
      </c>
      <c r="K805">
        <v>26.05</v>
      </c>
      <c r="L805">
        <v>77532.899999999994</v>
      </c>
      <c r="M805">
        <v>62896.08</v>
      </c>
      <c r="N805">
        <v>11.494999999999999</v>
      </c>
      <c r="O805">
        <v>5.4120000000000001E-2</v>
      </c>
      <c r="P805">
        <v>2.214</v>
      </c>
      <c r="Q805">
        <v>107.11</v>
      </c>
      <c r="R805">
        <v>37.53</v>
      </c>
      <c r="S805">
        <v>155.19999999999999</v>
      </c>
    </row>
    <row r="806" spans="1:19" x14ac:dyDescent="0.3">
      <c r="A806" s="2">
        <v>45049</v>
      </c>
      <c r="B806">
        <v>91.28</v>
      </c>
      <c r="C806">
        <v>108.09</v>
      </c>
      <c r="D806">
        <v>122.2</v>
      </c>
      <c r="E806">
        <v>127.42</v>
      </c>
      <c r="F806">
        <v>125.82</v>
      </c>
      <c r="G806">
        <v>68.599999999999994</v>
      </c>
      <c r="H806">
        <v>72.33</v>
      </c>
      <c r="I806">
        <v>72.28</v>
      </c>
      <c r="J806">
        <v>107.93</v>
      </c>
      <c r="K806">
        <v>25.9</v>
      </c>
      <c r="L806">
        <v>78218.600000000006</v>
      </c>
      <c r="M806">
        <v>64498.03</v>
      </c>
      <c r="N806">
        <v>11.5</v>
      </c>
      <c r="O806">
        <v>5.4679999999999999E-2</v>
      </c>
      <c r="P806">
        <v>2.17</v>
      </c>
      <c r="Q806">
        <v>104.83</v>
      </c>
      <c r="R806">
        <v>36.78</v>
      </c>
      <c r="S806">
        <v>155.5</v>
      </c>
    </row>
    <row r="807" spans="1:19" x14ac:dyDescent="0.3">
      <c r="A807" s="2">
        <v>45050</v>
      </c>
      <c r="B807">
        <v>91.28</v>
      </c>
      <c r="C807">
        <v>108.09</v>
      </c>
      <c r="D807">
        <v>122.2</v>
      </c>
      <c r="E807">
        <v>127.42</v>
      </c>
      <c r="F807">
        <v>125.82</v>
      </c>
      <c r="G807">
        <v>68.56</v>
      </c>
      <c r="H807">
        <v>72.5</v>
      </c>
      <c r="I807">
        <v>72.5</v>
      </c>
      <c r="J807">
        <v>106.04</v>
      </c>
      <c r="K807">
        <v>26.25</v>
      </c>
      <c r="L807">
        <v>77271.13</v>
      </c>
      <c r="M807">
        <v>67780.460000000006</v>
      </c>
      <c r="N807">
        <v>11.31</v>
      </c>
      <c r="O807">
        <v>5.4640000000000001E-2</v>
      </c>
      <c r="P807">
        <v>2.101</v>
      </c>
      <c r="Q807">
        <v>106.75</v>
      </c>
      <c r="R807">
        <v>35.655000000000001</v>
      </c>
      <c r="S807">
        <v>155.85</v>
      </c>
    </row>
    <row r="808" spans="1:19" x14ac:dyDescent="0.3">
      <c r="A808" s="2">
        <v>45051</v>
      </c>
      <c r="B808">
        <v>87.26</v>
      </c>
      <c r="C808">
        <v>103.26</v>
      </c>
      <c r="D808">
        <v>116.71</v>
      </c>
      <c r="E808">
        <v>122.63</v>
      </c>
      <c r="F808">
        <v>123.74</v>
      </c>
      <c r="G808">
        <v>71.34</v>
      </c>
      <c r="H808">
        <v>75.3</v>
      </c>
      <c r="I808">
        <v>74.88</v>
      </c>
      <c r="J808">
        <v>108.68</v>
      </c>
      <c r="K808">
        <v>26.75</v>
      </c>
      <c r="L808">
        <v>78132.77</v>
      </c>
      <c r="M808">
        <v>65925.67</v>
      </c>
      <c r="N808">
        <v>11.315</v>
      </c>
      <c r="O808">
        <v>5.4289999999999998E-2</v>
      </c>
      <c r="P808">
        <v>2.137</v>
      </c>
      <c r="Q808">
        <v>108.31</v>
      </c>
      <c r="R808">
        <v>36.575000000000003</v>
      </c>
      <c r="S808">
        <v>158.25</v>
      </c>
    </row>
    <row r="809" spans="1:19" x14ac:dyDescent="0.3">
      <c r="A809" s="2">
        <v>45054</v>
      </c>
      <c r="B809">
        <v>87.953183520599239</v>
      </c>
      <c r="C809">
        <v>113.3531554307116</v>
      </c>
      <c r="D809">
        <v>134.97180711610491</v>
      </c>
      <c r="E809">
        <v>144.35149446494461</v>
      </c>
      <c r="F809">
        <v>123.75970973782771</v>
      </c>
      <c r="G809">
        <v>73.16</v>
      </c>
      <c r="H809">
        <v>77.010000000000005</v>
      </c>
      <c r="I809">
        <v>76.25</v>
      </c>
      <c r="J809">
        <v>109.11</v>
      </c>
      <c r="K809">
        <v>27.8</v>
      </c>
      <c r="L809">
        <v>78572.33</v>
      </c>
      <c r="M809">
        <v>67240.800000000003</v>
      </c>
      <c r="N809">
        <v>11.315</v>
      </c>
      <c r="O809">
        <v>5.4510000000000003E-2</v>
      </c>
      <c r="P809">
        <v>2.238</v>
      </c>
      <c r="Q809">
        <v>107.22</v>
      </c>
      <c r="R809">
        <v>36.875</v>
      </c>
      <c r="S809">
        <v>160.05000000000001</v>
      </c>
    </row>
    <row r="810" spans="1:19" x14ac:dyDescent="0.3">
      <c r="A810" s="2">
        <v>45055</v>
      </c>
      <c r="B810">
        <v>87.26</v>
      </c>
      <c r="C810">
        <v>103.26</v>
      </c>
      <c r="D810">
        <v>116.71</v>
      </c>
      <c r="E810">
        <v>122.63</v>
      </c>
      <c r="F810">
        <v>123.74</v>
      </c>
      <c r="G810">
        <v>73.709999999999994</v>
      </c>
      <c r="H810">
        <v>77.44</v>
      </c>
      <c r="I810">
        <v>76.55</v>
      </c>
      <c r="J810">
        <v>109.14</v>
      </c>
      <c r="K810">
        <v>28.35</v>
      </c>
      <c r="L810">
        <v>77776.87</v>
      </c>
      <c r="M810">
        <v>65670.33</v>
      </c>
      <c r="N810">
        <v>11.24</v>
      </c>
      <c r="O810">
        <v>5.3539999999999997E-2</v>
      </c>
      <c r="P810">
        <v>2.2669999999999999</v>
      </c>
      <c r="Q810">
        <v>106.21</v>
      </c>
      <c r="R810">
        <v>35.950000000000003</v>
      </c>
      <c r="S810">
        <v>160.4</v>
      </c>
    </row>
    <row r="811" spans="1:19" x14ac:dyDescent="0.3">
      <c r="A811" s="2">
        <v>45056</v>
      </c>
      <c r="B811">
        <v>87.26</v>
      </c>
      <c r="C811">
        <v>103.26</v>
      </c>
      <c r="D811">
        <v>116.71</v>
      </c>
      <c r="E811">
        <v>122.63</v>
      </c>
      <c r="F811">
        <v>123.74</v>
      </c>
      <c r="G811">
        <v>72.56</v>
      </c>
      <c r="H811">
        <v>76.41</v>
      </c>
      <c r="I811">
        <v>75.64</v>
      </c>
      <c r="J811">
        <v>107.74</v>
      </c>
      <c r="K811">
        <v>28</v>
      </c>
      <c r="L811">
        <v>77775.02</v>
      </c>
      <c r="M811">
        <v>65114.3</v>
      </c>
      <c r="N811">
        <v>11.21</v>
      </c>
      <c r="O811">
        <v>5.296E-2</v>
      </c>
      <c r="P811">
        <v>2.1909999999999998</v>
      </c>
      <c r="Q811">
        <v>108.49</v>
      </c>
      <c r="R811">
        <v>34.994999999999997</v>
      </c>
      <c r="S811">
        <v>161.80000000000001</v>
      </c>
    </row>
    <row r="812" spans="1:19" x14ac:dyDescent="0.3">
      <c r="A812" s="2">
        <v>45057</v>
      </c>
      <c r="B812">
        <v>87.26</v>
      </c>
      <c r="C812">
        <v>103.26</v>
      </c>
      <c r="D812">
        <v>116.71</v>
      </c>
      <c r="E812">
        <v>122.63</v>
      </c>
      <c r="F812">
        <v>123.74</v>
      </c>
      <c r="G812">
        <v>70.87</v>
      </c>
      <c r="H812">
        <v>74.98</v>
      </c>
      <c r="I812">
        <v>74.739999999999995</v>
      </c>
      <c r="J812">
        <v>105.79</v>
      </c>
      <c r="K812">
        <v>27.95</v>
      </c>
      <c r="L812">
        <v>76997.16</v>
      </c>
      <c r="M812">
        <v>63826.74</v>
      </c>
      <c r="N812">
        <v>11.16</v>
      </c>
      <c r="O812">
        <v>5.2049999999999999E-2</v>
      </c>
      <c r="P812">
        <v>2.3450000000000002</v>
      </c>
      <c r="Q812">
        <v>108.21</v>
      </c>
      <c r="R812">
        <v>34.994999999999997</v>
      </c>
      <c r="S812">
        <v>162.55000000000001</v>
      </c>
    </row>
    <row r="813" spans="1:19" x14ac:dyDescent="0.3">
      <c r="A813" s="2">
        <v>45058</v>
      </c>
      <c r="B813">
        <v>78.209999999999994</v>
      </c>
      <c r="C813">
        <v>97.07</v>
      </c>
      <c r="D813">
        <v>104.98</v>
      </c>
      <c r="E813">
        <v>112.03</v>
      </c>
      <c r="F813">
        <v>116.59</v>
      </c>
      <c r="G813">
        <v>70.040000000000006</v>
      </c>
      <c r="H813">
        <v>74.17</v>
      </c>
      <c r="I813">
        <v>74.010000000000005</v>
      </c>
      <c r="J813">
        <v>105.78</v>
      </c>
      <c r="K813">
        <v>27.45</v>
      </c>
      <c r="L813">
        <v>78330.2</v>
      </c>
      <c r="M813">
        <v>63964.09</v>
      </c>
      <c r="N813">
        <v>11.115</v>
      </c>
      <c r="O813">
        <v>5.1700000000000003E-2</v>
      </c>
      <c r="P813">
        <v>2.4380000000000002</v>
      </c>
      <c r="Q813">
        <v>108.59</v>
      </c>
      <c r="R813">
        <v>32.765000000000001</v>
      </c>
      <c r="S813">
        <v>158.19999999999999</v>
      </c>
    </row>
    <row r="814" spans="1:19" x14ac:dyDescent="0.3">
      <c r="A814" s="2">
        <v>45061</v>
      </c>
      <c r="B814">
        <v>78.209999999999994</v>
      </c>
      <c r="C814">
        <v>97.07</v>
      </c>
      <c r="D814">
        <v>104.98</v>
      </c>
      <c r="E814">
        <v>112.03</v>
      </c>
      <c r="F814">
        <v>116.59</v>
      </c>
      <c r="G814">
        <v>71.11</v>
      </c>
      <c r="H814">
        <v>75.23</v>
      </c>
      <c r="I814">
        <v>74.540000000000006</v>
      </c>
      <c r="J814">
        <v>105.07</v>
      </c>
      <c r="K814">
        <v>27.65</v>
      </c>
      <c r="L814">
        <v>78261.649999999994</v>
      </c>
      <c r="M814">
        <v>63510.62</v>
      </c>
      <c r="N814">
        <v>11.048999999999999</v>
      </c>
      <c r="O814">
        <v>5.2519999999999997E-2</v>
      </c>
      <c r="P814">
        <v>2.375</v>
      </c>
      <c r="Q814">
        <v>109.86</v>
      </c>
      <c r="R814">
        <v>32.314999999999998</v>
      </c>
      <c r="S814">
        <v>155.80000000000001</v>
      </c>
    </row>
    <row r="815" spans="1:19" x14ac:dyDescent="0.3">
      <c r="A815" s="2">
        <v>45062</v>
      </c>
      <c r="B815">
        <v>78.209999999999994</v>
      </c>
      <c r="C815">
        <v>97.07</v>
      </c>
      <c r="D815">
        <v>104.98</v>
      </c>
      <c r="E815">
        <v>112.03</v>
      </c>
      <c r="F815">
        <v>116.59</v>
      </c>
      <c r="G815">
        <v>70.86</v>
      </c>
      <c r="H815">
        <v>74.91</v>
      </c>
      <c r="I815">
        <v>74.42</v>
      </c>
      <c r="J815">
        <v>102.52</v>
      </c>
      <c r="K815">
        <v>27.85</v>
      </c>
      <c r="L815">
        <v>77973.02</v>
      </c>
      <c r="M815">
        <v>62925.15</v>
      </c>
      <c r="N815">
        <v>9.8550000000000004</v>
      </c>
      <c r="O815">
        <v>5.2420000000000001E-2</v>
      </c>
      <c r="P815">
        <v>2.3759999999999999</v>
      </c>
      <c r="Q815">
        <v>109</v>
      </c>
      <c r="R815">
        <v>31.82</v>
      </c>
      <c r="S815">
        <v>159.19999999999999</v>
      </c>
    </row>
    <row r="816" spans="1:19" x14ac:dyDescent="0.3">
      <c r="A816" s="2">
        <v>45063</v>
      </c>
      <c r="B816">
        <v>78.209999999999994</v>
      </c>
      <c r="C816">
        <v>97.07</v>
      </c>
      <c r="D816">
        <v>104.98</v>
      </c>
      <c r="E816">
        <v>112.03</v>
      </c>
      <c r="F816">
        <v>116.59</v>
      </c>
      <c r="G816">
        <v>72.83</v>
      </c>
      <c r="H816">
        <v>76.959999999999994</v>
      </c>
      <c r="I816">
        <v>75.180000000000007</v>
      </c>
      <c r="J816">
        <v>104.82</v>
      </c>
      <c r="K816">
        <v>27.3</v>
      </c>
      <c r="L816">
        <v>78390.740000000005</v>
      </c>
      <c r="M816">
        <v>63094.6</v>
      </c>
      <c r="N816">
        <v>9.9450000000000003</v>
      </c>
      <c r="O816">
        <v>5.1929999999999997E-2</v>
      </c>
      <c r="P816">
        <v>2.3650000000000002</v>
      </c>
      <c r="Q816">
        <v>108.6</v>
      </c>
      <c r="R816">
        <v>31.954999999999998</v>
      </c>
      <c r="S816">
        <v>159.35</v>
      </c>
    </row>
    <row r="817" spans="1:19" x14ac:dyDescent="0.3">
      <c r="A817" s="2">
        <v>45064</v>
      </c>
      <c r="B817">
        <v>78.209999999999994</v>
      </c>
      <c r="C817">
        <v>97.07</v>
      </c>
      <c r="D817">
        <v>104.98</v>
      </c>
      <c r="E817">
        <v>112.03</v>
      </c>
      <c r="F817">
        <v>116.59</v>
      </c>
      <c r="G817">
        <v>71.86</v>
      </c>
      <c r="H817">
        <v>75.86</v>
      </c>
      <c r="I817">
        <v>74.760000000000005</v>
      </c>
      <c r="J817">
        <v>105.77</v>
      </c>
      <c r="K817">
        <v>27.7</v>
      </c>
      <c r="L817">
        <v>77667.960000000006</v>
      </c>
      <c r="M817">
        <v>61580.63</v>
      </c>
      <c r="N817">
        <v>9.7149999999999999</v>
      </c>
      <c r="O817">
        <v>5.1679999999999997E-2</v>
      </c>
      <c r="P817">
        <v>2.5920000000000001</v>
      </c>
      <c r="Q817">
        <v>108.55</v>
      </c>
      <c r="R817">
        <v>29.785</v>
      </c>
      <c r="S817">
        <v>159.1</v>
      </c>
    </row>
    <row r="818" spans="1:19" x14ac:dyDescent="0.3">
      <c r="A818" s="2">
        <v>45065</v>
      </c>
      <c r="B818">
        <v>71.959999999999994</v>
      </c>
      <c r="C818">
        <v>87.11</v>
      </c>
      <c r="D818">
        <v>97.31</v>
      </c>
      <c r="E818">
        <v>103.98</v>
      </c>
      <c r="F818">
        <v>108.14</v>
      </c>
      <c r="G818">
        <v>71.55</v>
      </c>
      <c r="H818">
        <v>75.58</v>
      </c>
      <c r="I818">
        <v>74.61</v>
      </c>
      <c r="J818">
        <v>106.26</v>
      </c>
      <c r="K818">
        <v>27.6</v>
      </c>
      <c r="L818">
        <v>78175.820000000007</v>
      </c>
      <c r="M818">
        <v>61971.360000000001</v>
      </c>
      <c r="N818">
        <v>9.84</v>
      </c>
      <c r="O818">
        <v>5.1450000000000003E-2</v>
      </c>
      <c r="P818">
        <v>2.585</v>
      </c>
      <c r="Q818">
        <v>108.03</v>
      </c>
      <c r="R818">
        <v>30.175000000000001</v>
      </c>
      <c r="S818">
        <v>158.94999999999999</v>
      </c>
    </row>
    <row r="819" spans="1:19" x14ac:dyDescent="0.3">
      <c r="A819" s="2">
        <v>45068</v>
      </c>
      <c r="B819">
        <v>71.959999999999994</v>
      </c>
      <c r="C819">
        <v>87.11</v>
      </c>
      <c r="D819">
        <v>97.31</v>
      </c>
      <c r="E819">
        <v>103.98</v>
      </c>
      <c r="F819">
        <v>108.14</v>
      </c>
      <c r="G819">
        <v>71.989999999999995</v>
      </c>
      <c r="H819">
        <v>75.989999999999995</v>
      </c>
      <c r="I819">
        <v>74.77</v>
      </c>
      <c r="J819">
        <v>104.97</v>
      </c>
      <c r="K819">
        <v>27.6</v>
      </c>
      <c r="L819">
        <v>77962.73</v>
      </c>
      <c r="M819">
        <v>62173.75</v>
      </c>
      <c r="N819">
        <v>9.7550000000000008</v>
      </c>
      <c r="O819">
        <v>5.1990000000000001E-2</v>
      </c>
      <c r="P819">
        <v>2.4</v>
      </c>
      <c r="Q819">
        <v>109.18</v>
      </c>
      <c r="R819">
        <v>29.71</v>
      </c>
      <c r="S819">
        <v>155.65</v>
      </c>
    </row>
    <row r="820" spans="1:19" x14ac:dyDescent="0.3">
      <c r="A820" s="2">
        <v>45069</v>
      </c>
      <c r="B820">
        <v>71.959999999999994</v>
      </c>
      <c r="C820">
        <v>87.11</v>
      </c>
      <c r="D820">
        <v>97.31</v>
      </c>
      <c r="E820">
        <v>103.98</v>
      </c>
      <c r="F820">
        <v>108.14</v>
      </c>
      <c r="G820">
        <v>72.91</v>
      </c>
      <c r="H820">
        <v>76.84</v>
      </c>
      <c r="I820">
        <v>74.989999999999995</v>
      </c>
      <c r="J820">
        <v>106.4</v>
      </c>
      <c r="K820">
        <v>27.6</v>
      </c>
      <c r="L820">
        <v>76748.27</v>
      </c>
      <c r="M820">
        <v>60805.46</v>
      </c>
      <c r="N820">
        <v>9.7349999999999994</v>
      </c>
      <c r="O820">
        <v>5.2049999999999999E-2</v>
      </c>
      <c r="P820">
        <v>2.3210000000000002</v>
      </c>
      <c r="Q820">
        <v>107.89</v>
      </c>
      <c r="R820">
        <v>29.125</v>
      </c>
      <c r="S820">
        <v>156.65</v>
      </c>
    </row>
    <row r="821" spans="1:19" x14ac:dyDescent="0.3">
      <c r="A821" s="2">
        <v>45070</v>
      </c>
      <c r="B821">
        <v>71.959999999999994</v>
      </c>
      <c r="C821">
        <v>87.11</v>
      </c>
      <c r="D821">
        <v>97.31</v>
      </c>
      <c r="E821">
        <v>103.98</v>
      </c>
      <c r="F821">
        <v>108.14</v>
      </c>
      <c r="G821">
        <v>74.34</v>
      </c>
      <c r="H821">
        <v>78.36</v>
      </c>
      <c r="I821">
        <v>75.41</v>
      </c>
      <c r="J821">
        <v>107.59</v>
      </c>
      <c r="K821">
        <v>27.35</v>
      </c>
      <c r="L821">
        <v>75621.899999999994</v>
      </c>
      <c r="M821">
        <v>59997.56</v>
      </c>
      <c r="N821">
        <v>9.58</v>
      </c>
      <c r="O821">
        <v>5.194E-2</v>
      </c>
      <c r="P821">
        <v>2.3980000000000001</v>
      </c>
      <c r="Q821">
        <v>106.58</v>
      </c>
      <c r="R821">
        <v>27.785</v>
      </c>
      <c r="S821">
        <v>155.75</v>
      </c>
    </row>
    <row r="822" spans="1:19" x14ac:dyDescent="0.3">
      <c r="A822" s="2">
        <v>45071</v>
      </c>
      <c r="B822">
        <v>71.959999999999994</v>
      </c>
      <c r="C822">
        <v>87.11</v>
      </c>
      <c r="D822">
        <v>97.31</v>
      </c>
      <c r="E822">
        <v>103.98</v>
      </c>
      <c r="F822">
        <v>108.14</v>
      </c>
      <c r="G822">
        <v>71.83</v>
      </c>
      <c r="H822">
        <v>76.260000000000005</v>
      </c>
      <c r="I822">
        <v>75</v>
      </c>
      <c r="J822">
        <v>105.66</v>
      </c>
      <c r="K822">
        <v>26.85</v>
      </c>
      <c r="L822">
        <v>76174.61</v>
      </c>
      <c r="M822">
        <v>60139.72</v>
      </c>
      <c r="N822">
        <v>9.35</v>
      </c>
      <c r="O822">
        <v>5.0470000000000001E-2</v>
      </c>
      <c r="P822">
        <v>2.3069999999999999</v>
      </c>
      <c r="Q822">
        <v>105.11</v>
      </c>
      <c r="R822">
        <v>25.45</v>
      </c>
      <c r="S822">
        <v>155.5</v>
      </c>
    </row>
    <row r="823" spans="1:19" x14ac:dyDescent="0.3">
      <c r="A823" s="2">
        <v>45072</v>
      </c>
      <c r="B823">
        <v>71.12</v>
      </c>
      <c r="C823">
        <v>86.39</v>
      </c>
      <c r="D823">
        <v>98.43</v>
      </c>
      <c r="E823">
        <v>104.24</v>
      </c>
      <c r="F823">
        <v>104.4</v>
      </c>
      <c r="G823">
        <v>72.67</v>
      </c>
      <c r="H823">
        <v>76.95</v>
      </c>
      <c r="I823">
        <v>75.14</v>
      </c>
      <c r="J823">
        <v>104.97</v>
      </c>
      <c r="K823">
        <v>21.274702495201531</v>
      </c>
      <c r="L823">
        <v>76589.539999999994</v>
      </c>
      <c r="M823">
        <v>59448.79</v>
      </c>
      <c r="N823">
        <v>9.2349999999999994</v>
      </c>
      <c r="O823">
        <v>5.0880000000000002E-2</v>
      </c>
      <c r="P823">
        <v>2.181</v>
      </c>
      <c r="Q823">
        <v>105.16</v>
      </c>
      <c r="R823">
        <v>24.52</v>
      </c>
      <c r="S823">
        <v>155.80000000000001</v>
      </c>
    </row>
    <row r="824" spans="1:19" x14ac:dyDescent="0.3">
      <c r="A824" s="2">
        <v>45075</v>
      </c>
      <c r="B824">
        <v>87.953183520599239</v>
      </c>
      <c r="C824">
        <v>113.3531554307116</v>
      </c>
      <c r="D824">
        <v>134.97180711610491</v>
      </c>
      <c r="E824">
        <v>144.35149446494461</v>
      </c>
      <c r="F824">
        <v>123.75970973782771</v>
      </c>
      <c r="G824">
        <v>72.87</v>
      </c>
      <c r="H824">
        <v>77.069999999999993</v>
      </c>
      <c r="I824">
        <v>74.752492970946577</v>
      </c>
      <c r="J824">
        <v>80.871012183692585</v>
      </c>
      <c r="K824">
        <v>26.15</v>
      </c>
      <c r="L824">
        <v>76613.350000000006</v>
      </c>
      <c r="M824">
        <v>59522.35</v>
      </c>
      <c r="N824">
        <v>17.62252908067542</v>
      </c>
      <c r="O824">
        <v>5.0790000000000002E-2</v>
      </c>
      <c r="P824">
        <v>2.3490000000000002</v>
      </c>
      <c r="Q824">
        <v>112.7561105904405</v>
      </c>
      <c r="R824">
        <v>57.384855947955387</v>
      </c>
      <c r="S824">
        <v>155.1</v>
      </c>
    </row>
    <row r="825" spans="1:19" x14ac:dyDescent="0.3">
      <c r="A825" s="2">
        <v>45076</v>
      </c>
      <c r="B825">
        <v>71.12</v>
      </c>
      <c r="C825">
        <v>86.39</v>
      </c>
      <c r="D825">
        <v>98.43</v>
      </c>
      <c r="E825">
        <v>104.24</v>
      </c>
      <c r="F825">
        <v>104.4</v>
      </c>
      <c r="G825">
        <v>69.459999999999994</v>
      </c>
      <c r="H825">
        <v>73.540000000000006</v>
      </c>
      <c r="I825">
        <v>74.95</v>
      </c>
      <c r="J825">
        <v>104.04</v>
      </c>
      <c r="K825">
        <v>25.9</v>
      </c>
      <c r="L825">
        <v>75939.460000000006</v>
      </c>
      <c r="M825">
        <v>59464.24</v>
      </c>
      <c r="N825">
        <v>9.3650000000000002</v>
      </c>
      <c r="O825">
        <v>5.074E-2</v>
      </c>
      <c r="P825">
        <v>2.327</v>
      </c>
      <c r="Q825">
        <v>104.4</v>
      </c>
      <c r="R825">
        <v>24.681000000000001</v>
      </c>
      <c r="S825">
        <v>153.69999999999999</v>
      </c>
    </row>
    <row r="826" spans="1:19" x14ac:dyDescent="0.3">
      <c r="A826" s="2">
        <v>45077</v>
      </c>
      <c r="B826">
        <v>71.12</v>
      </c>
      <c r="C826">
        <v>86.39</v>
      </c>
      <c r="D826">
        <v>98.43</v>
      </c>
      <c r="E826">
        <v>104.24</v>
      </c>
      <c r="F826">
        <v>104.4</v>
      </c>
      <c r="G826">
        <v>68.09</v>
      </c>
      <c r="H826">
        <v>72.66</v>
      </c>
      <c r="I826">
        <v>74.930000000000007</v>
      </c>
      <c r="J826">
        <v>102.18</v>
      </c>
      <c r="K826">
        <v>24.75</v>
      </c>
      <c r="L826">
        <v>75067.47</v>
      </c>
      <c r="M826">
        <v>61311</v>
      </c>
      <c r="N826">
        <v>9.2850000000000001</v>
      </c>
      <c r="O826">
        <v>5.0689999999999999E-2</v>
      </c>
      <c r="P826">
        <v>2.266</v>
      </c>
      <c r="Q826">
        <v>105.95</v>
      </c>
      <c r="R826">
        <v>26.85</v>
      </c>
      <c r="S826">
        <v>153</v>
      </c>
    </row>
    <row r="827" spans="1:19" x14ac:dyDescent="0.3">
      <c r="A827" s="2">
        <v>45078</v>
      </c>
      <c r="B827">
        <v>71.12</v>
      </c>
      <c r="C827">
        <v>86.39</v>
      </c>
      <c r="D827">
        <v>98.43</v>
      </c>
      <c r="E827">
        <v>104.24</v>
      </c>
      <c r="F827">
        <v>104.4</v>
      </c>
      <c r="G827">
        <v>70.099999999999994</v>
      </c>
      <c r="H827">
        <v>74.28</v>
      </c>
      <c r="I827">
        <v>72.75</v>
      </c>
      <c r="J827">
        <v>103.36</v>
      </c>
      <c r="K827">
        <v>24.45</v>
      </c>
      <c r="L827">
        <v>75783.25</v>
      </c>
      <c r="M827">
        <v>62112.46</v>
      </c>
      <c r="N827">
        <v>9.2650000000000006</v>
      </c>
      <c r="O827">
        <v>5.0909999999999997E-2</v>
      </c>
      <c r="P827">
        <v>2.1579999999999999</v>
      </c>
      <c r="Q827">
        <v>106.37</v>
      </c>
      <c r="R827">
        <v>23.105</v>
      </c>
      <c r="S827">
        <v>153.44999999999999</v>
      </c>
    </row>
    <row r="828" spans="1:19" x14ac:dyDescent="0.3">
      <c r="A828" s="2">
        <v>45079</v>
      </c>
      <c r="B828">
        <v>67.16</v>
      </c>
      <c r="C828">
        <v>81.5</v>
      </c>
      <c r="D828">
        <v>92.15</v>
      </c>
      <c r="E828">
        <v>96.72</v>
      </c>
      <c r="F828">
        <v>101.01</v>
      </c>
      <c r="G828">
        <v>71.739999999999995</v>
      </c>
      <c r="H828">
        <v>76.13</v>
      </c>
      <c r="I828">
        <v>74.41</v>
      </c>
      <c r="J828">
        <v>105.76</v>
      </c>
      <c r="K828">
        <v>25.4</v>
      </c>
      <c r="L828">
        <v>77126.06</v>
      </c>
      <c r="M828">
        <v>61928.11</v>
      </c>
      <c r="N828">
        <v>9.2850000000000001</v>
      </c>
      <c r="O828">
        <v>5.1220000000000002E-2</v>
      </c>
      <c r="P828">
        <v>2.1720000000000002</v>
      </c>
      <c r="Q828">
        <v>107.98</v>
      </c>
      <c r="R828">
        <v>23.69</v>
      </c>
      <c r="S828">
        <v>152.75</v>
      </c>
    </row>
    <row r="829" spans="1:19" x14ac:dyDescent="0.3">
      <c r="A829" s="2">
        <v>45082</v>
      </c>
      <c r="B829">
        <v>67.16</v>
      </c>
      <c r="C829">
        <v>81.5</v>
      </c>
      <c r="D829">
        <v>92.15</v>
      </c>
      <c r="E829">
        <v>96.72</v>
      </c>
      <c r="F829">
        <v>101.01</v>
      </c>
      <c r="G829">
        <v>72.150000000000006</v>
      </c>
      <c r="H829">
        <v>76.709999999999994</v>
      </c>
      <c r="I829">
        <v>75.14</v>
      </c>
      <c r="J829">
        <v>105.29</v>
      </c>
      <c r="K829">
        <v>25.4</v>
      </c>
      <c r="L829">
        <v>76602.84</v>
      </c>
      <c r="M829">
        <v>61209.82</v>
      </c>
      <c r="N829">
        <v>9.2650000000000006</v>
      </c>
      <c r="O829">
        <v>5.185E-2</v>
      </c>
      <c r="P829">
        <v>2.2450000000000001</v>
      </c>
      <c r="Q829">
        <v>108.32</v>
      </c>
      <c r="R829">
        <v>28.48</v>
      </c>
      <c r="S829">
        <v>153.19999999999999</v>
      </c>
    </row>
    <row r="830" spans="1:19" x14ac:dyDescent="0.3">
      <c r="A830" s="2">
        <v>45083</v>
      </c>
      <c r="B830">
        <v>67.16</v>
      </c>
      <c r="C830">
        <v>81.5</v>
      </c>
      <c r="D830">
        <v>92.15</v>
      </c>
      <c r="E830">
        <v>96.72</v>
      </c>
      <c r="F830">
        <v>101.01</v>
      </c>
      <c r="G830">
        <v>71.739999999999995</v>
      </c>
      <c r="H830">
        <v>76.290000000000006</v>
      </c>
      <c r="I830">
        <v>75.5</v>
      </c>
      <c r="J830">
        <v>106.15</v>
      </c>
      <c r="K830">
        <v>25.7</v>
      </c>
      <c r="L830">
        <v>76840.11</v>
      </c>
      <c r="M830">
        <v>60582.23</v>
      </c>
      <c r="N830">
        <v>9.2100000000000009</v>
      </c>
      <c r="O830">
        <v>5.2049999999999999E-2</v>
      </c>
      <c r="P830">
        <v>2.262</v>
      </c>
      <c r="Q830">
        <v>108.44</v>
      </c>
      <c r="R830">
        <v>24.86</v>
      </c>
      <c r="S830">
        <v>147.19999999999999</v>
      </c>
    </row>
    <row r="831" spans="1:19" x14ac:dyDescent="0.3">
      <c r="A831" s="2">
        <v>45084</v>
      </c>
      <c r="B831">
        <v>67.16</v>
      </c>
      <c r="C831">
        <v>81.5</v>
      </c>
      <c r="D831">
        <v>92.15</v>
      </c>
      <c r="E831">
        <v>96.72</v>
      </c>
      <c r="F831">
        <v>101.01</v>
      </c>
      <c r="G831">
        <v>72.53</v>
      </c>
      <c r="H831">
        <v>76.95</v>
      </c>
      <c r="I831">
        <v>75.83</v>
      </c>
      <c r="J831">
        <v>108.53</v>
      </c>
      <c r="K831">
        <v>25.75</v>
      </c>
      <c r="L831">
        <v>77125.850000000006</v>
      </c>
      <c r="M831">
        <v>61614.78</v>
      </c>
      <c r="N831">
        <v>9.2349999999999994</v>
      </c>
      <c r="O831">
        <v>5.2359999999999997E-2</v>
      </c>
      <c r="P831">
        <v>2.3290000000000002</v>
      </c>
      <c r="Q831">
        <v>108.32</v>
      </c>
      <c r="R831">
        <v>26.33</v>
      </c>
      <c r="S831">
        <v>148.69999999999999</v>
      </c>
    </row>
    <row r="832" spans="1:19" x14ac:dyDescent="0.3">
      <c r="A832" s="2">
        <v>45085</v>
      </c>
      <c r="B832">
        <v>67.16</v>
      </c>
      <c r="C832">
        <v>81.5</v>
      </c>
      <c r="D832">
        <v>92.15</v>
      </c>
      <c r="E832">
        <v>96.72</v>
      </c>
      <c r="F832">
        <v>101.01</v>
      </c>
      <c r="G832">
        <v>71.290000000000006</v>
      </c>
      <c r="H832">
        <v>75.959999999999994</v>
      </c>
      <c r="I832">
        <v>75.2</v>
      </c>
      <c r="J832">
        <v>108.19</v>
      </c>
      <c r="K832">
        <v>26.15</v>
      </c>
      <c r="L832">
        <v>77015.210000000006</v>
      </c>
      <c r="M832">
        <v>59923.67</v>
      </c>
      <c r="N832">
        <v>9.2100000000000009</v>
      </c>
      <c r="O832">
        <v>5.305E-2</v>
      </c>
      <c r="P832">
        <v>2.3519999999999999</v>
      </c>
      <c r="Q832">
        <v>110.6</v>
      </c>
      <c r="R832">
        <v>26.945</v>
      </c>
      <c r="S832">
        <v>136.44999999999999</v>
      </c>
    </row>
    <row r="833" spans="1:19" x14ac:dyDescent="0.3">
      <c r="A833" s="2">
        <v>45086</v>
      </c>
      <c r="B833">
        <v>71.06</v>
      </c>
      <c r="C833">
        <v>85.96</v>
      </c>
      <c r="D833">
        <v>97.6</v>
      </c>
      <c r="E833">
        <v>100.6</v>
      </c>
      <c r="F833">
        <v>99.36</v>
      </c>
      <c r="G833">
        <v>70.17</v>
      </c>
      <c r="H833">
        <v>74.790000000000006</v>
      </c>
      <c r="I833">
        <v>74.38</v>
      </c>
      <c r="J833">
        <v>107.39</v>
      </c>
      <c r="K833">
        <v>26.05</v>
      </c>
      <c r="L833">
        <v>76936.11</v>
      </c>
      <c r="M833">
        <v>58779.97</v>
      </c>
      <c r="N833">
        <v>9.25</v>
      </c>
      <c r="O833">
        <v>5.3370000000000001E-2</v>
      </c>
      <c r="P833">
        <v>2.254</v>
      </c>
      <c r="Q833">
        <v>109.96</v>
      </c>
      <c r="R833">
        <v>32.049999999999997</v>
      </c>
      <c r="S833">
        <v>122.6</v>
      </c>
    </row>
    <row r="834" spans="1:19" x14ac:dyDescent="0.3">
      <c r="A834" s="2">
        <v>45089</v>
      </c>
      <c r="B834">
        <v>71.06</v>
      </c>
      <c r="C834">
        <v>85.96</v>
      </c>
      <c r="D834">
        <v>97.6</v>
      </c>
      <c r="E834">
        <v>100.6</v>
      </c>
      <c r="F834">
        <v>99.36</v>
      </c>
      <c r="G834">
        <v>67.12</v>
      </c>
      <c r="H834">
        <v>71.84</v>
      </c>
      <c r="I834">
        <v>72.41</v>
      </c>
      <c r="J834">
        <v>106.42</v>
      </c>
      <c r="K834">
        <v>26.3</v>
      </c>
      <c r="L834">
        <v>76282.13</v>
      </c>
      <c r="M834">
        <v>57310.44</v>
      </c>
      <c r="N834">
        <v>9.2650000000000006</v>
      </c>
      <c r="O834">
        <v>5.3839999999999999E-2</v>
      </c>
      <c r="P834">
        <v>2.266</v>
      </c>
      <c r="Q834">
        <v>108.5</v>
      </c>
      <c r="R834">
        <v>31.035</v>
      </c>
      <c r="S834">
        <v>123.6</v>
      </c>
    </row>
    <row r="835" spans="1:19" x14ac:dyDescent="0.3">
      <c r="A835" s="2">
        <v>45090</v>
      </c>
      <c r="B835">
        <v>71.06</v>
      </c>
      <c r="C835">
        <v>85.96</v>
      </c>
      <c r="D835">
        <v>97.6</v>
      </c>
      <c r="E835">
        <v>100.6</v>
      </c>
      <c r="F835">
        <v>99.36</v>
      </c>
      <c r="G835">
        <v>69.42</v>
      </c>
      <c r="H835">
        <v>74.290000000000006</v>
      </c>
      <c r="I835">
        <v>73.89</v>
      </c>
      <c r="J835">
        <v>106.44</v>
      </c>
      <c r="K835">
        <v>26.15</v>
      </c>
      <c r="L835">
        <v>77827.73</v>
      </c>
      <c r="M835">
        <v>58094.7</v>
      </c>
      <c r="N835">
        <v>9.3000000000000007</v>
      </c>
      <c r="O835">
        <v>5.3670000000000002E-2</v>
      </c>
      <c r="P835">
        <v>2.34</v>
      </c>
      <c r="Q835">
        <v>108.99</v>
      </c>
      <c r="R835">
        <v>36.049999999999997</v>
      </c>
      <c r="S835">
        <v>125.15</v>
      </c>
    </row>
    <row r="836" spans="1:19" x14ac:dyDescent="0.3">
      <c r="A836" s="2">
        <v>45091</v>
      </c>
      <c r="B836">
        <v>71.06</v>
      </c>
      <c r="C836">
        <v>85.96</v>
      </c>
      <c r="D836">
        <v>97.6</v>
      </c>
      <c r="E836">
        <v>100.6</v>
      </c>
      <c r="F836">
        <v>99.36</v>
      </c>
      <c r="G836">
        <v>68.27</v>
      </c>
      <c r="H836">
        <v>73.2</v>
      </c>
      <c r="I836">
        <v>73.42</v>
      </c>
      <c r="J836">
        <v>105.16</v>
      </c>
      <c r="K836">
        <v>26</v>
      </c>
      <c r="L836">
        <v>78060.22</v>
      </c>
      <c r="M836">
        <v>58206</v>
      </c>
      <c r="N836">
        <v>9.4</v>
      </c>
      <c r="O836">
        <v>5.4510000000000003E-2</v>
      </c>
      <c r="P836">
        <v>2.3420000000000001</v>
      </c>
      <c r="Q836">
        <v>110.67</v>
      </c>
      <c r="R836">
        <v>38.31</v>
      </c>
      <c r="S836">
        <v>123.35</v>
      </c>
    </row>
    <row r="837" spans="1:19" x14ac:dyDescent="0.3">
      <c r="A837" s="2">
        <v>45092</v>
      </c>
      <c r="B837">
        <v>71.06</v>
      </c>
      <c r="C837">
        <v>85.96</v>
      </c>
      <c r="D837">
        <v>97.6</v>
      </c>
      <c r="E837">
        <v>100.6</v>
      </c>
      <c r="F837">
        <v>99.36</v>
      </c>
      <c r="G837">
        <v>70.62</v>
      </c>
      <c r="H837">
        <v>75.67</v>
      </c>
      <c r="I837">
        <v>74.69</v>
      </c>
      <c r="J837">
        <v>105.89</v>
      </c>
      <c r="K837">
        <v>26.4</v>
      </c>
      <c r="L837">
        <v>78531.81</v>
      </c>
      <c r="M837">
        <v>57577.440000000002</v>
      </c>
      <c r="N837">
        <v>9.5839999999999996</v>
      </c>
      <c r="O837">
        <v>5.484E-2</v>
      </c>
      <c r="P837">
        <v>2.5329999999999999</v>
      </c>
      <c r="Q837">
        <v>112.38</v>
      </c>
      <c r="R837">
        <v>41.145000000000003</v>
      </c>
      <c r="S837">
        <v>124.85</v>
      </c>
    </row>
    <row r="838" spans="1:19" x14ac:dyDescent="0.3">
      <c r="A838" s="2">
        <v>45093</v>
      </c>
      <c r="B838">
        <v>70.86</v>
      </c>
      <c r="C838">
        <v>86.93</v>
      </c>
      <c r="D838">
        <v>100.23</v>
      </c>
      <c r="E838">
        <v>100.86</v>
      </c>
      <c r="F838">
        <v>95.63</v>
      </c>
      <c r="G838">
        <v>71.78</v>
      </c>
      <c r="H838">
        <v>76.61</v>
      </c>
      <c r="I838">
        <v>75.2</v>
      </c>
      <c r="J838">
        <v>105.13</v>
      </c>
      <c r="K838">
        <v>26.75</v>
      </c>
      <c r="L838">
        <v>68736.904810964072</v>
      </c>
      <c r="M838">
        <v>52972.178374291107</v>
      </c>
      <c r="N838">
        <v>11.2</v>
      </c>
      <c r="O838">
        <v>5.4949999999999999E-2</v>
      </c>
      <c r="P838">
        <v>2.6320000000000001</v>
      </c>
      <c r="Q838">
        <v>111.68</v>
      </c>
      <c r="R838">
        <v>35.01</v>
      </c>
      <c r="S838">
        <v>125.8</v>
      </c>
    </row>
    <row r="839" spans="1:19" x14ac:dyDescent="0.3">
      <c r="A839" s="2">
        <v>45096</v>
      </c>
      <c r="B839">
        <v>70.86</v>
      </c>
      <c r="C839">
        <v>86.93</v>
      </c>
      <c r="D839">
        <v>100.23</v>
      </c>
      <c r="E839">
        <v>100.86</v>
      </c>
      <c r="F839">
        <v>95.63</v>
      </c>
      <c r="G839">
        <v>71.31</v>
      </c>
      <c r="H839">
        <v>76.09</v>
      </c>
      <c r="I839">
        <v>74.752492970946577</v>
      </c>
      <c r="J839">
        <v>80.871012183692585</v>
      </c>
      <c r="K839">
        <v>26.7</v>
      </c>
      <c r="L839">
        <v>78014.350000000006</v>
      </c>
      <c r="M839">
        <v>57202.7</v>
      </c>
      <c r="N839">
        <v>17.62252908067542</v>
      </c>
      <c r="O839">
        <v>5.4980000000000001E-2</v>
      </c>
      <c r="P839">
        <v>2.6429999999999998</v>
      </c>
      <c r="Q839">
        <v>112.7561105904405</v>
      </c>
      <c r="R839">
        <v>57.384855947955387</v>
      </c>
      <c r="S839">
        <v>128.75</v>
      </c>
    </row>
    <row r="840" spans="1:19" x14ac:dyDescent="0.3">
      <c r="A840" s="2">
        <v>45097</v>
      </c>
      <c r="B840">
        <v>70.86</v>
      </c>
      <c r="C840">
        <v>86.93</v>
      </c>
      <c r="D840">
        <v>100.23</v>
      </c>
      <c r="E840">
        <v>100.86</v>
      </c>
      <c r="F840">
        <v>95.63</v>
      </c>
      <c r="G840">
        <v>70.5</v>
      </c>
      <c r="H840">
        <v>75.900000000000006</v>
      </c>
      <c r="I840">
        <v>75.099999999999994</v>
      </c>
      <c r="J840">
        <v>102.72</v>
      </c>
      <c r="K840">
        <v>26.3</v>
      </c>
      <c r="L840">
        <v>76769.22</v>
      </c>
      <c r="M840">
        <v>54721.3</v>
      </c>
      <c r="N840">
        <v>12.74</v>
      </c>
      <c r="O840">
        <v>5.441E-2</v>
      </c>
      <c r="P840">
        <v>2.492</v>
      </c>
      <c r="Q840">
        <v>112.17</v>
      </c>
      <c r="R840">
        <v>38.71</v>
      </c>
      <c r="S840">
        <v>130.69999999999999</v>
      </c>
    </row>
    <row r="841" spans="1:19" x14ac:dyDescent="0.3">
      <c r="A841" s="2">
        <v>45098</v>
      </c>
      <c r="B841">
        <v>70.86</v>
      </c>
      <c r="C841">
        <v>86.93</v>
      </c>
      <c r="D841">
        <v>100.23</v>
      </c>
      <c r="E841">
        <v>100.86</v>
      </c>
      <c r="F841">
        <v>95.63</v>
      </c>
      <c r="G841">
        <v>72.53</v>
      </c>
      <c r="H841">
        <v>77.12</v>
      </c>
      <c r="I841">
        <v>75.7</v>
      </c>
      <c r="J841">
        <v>103.87</v>
      </c>
      <c r="K841">
        <v>23.6</v>
      </c>
      <c r="L841">
        <v>75629.88</v>
      </c>
      <c r="M841">
        <v>53269.08</v>
      </c>
      <c r="N841">
        <v>12.475</v>
      </c>
      <c r="O841">
        <v>5.4579999999999997E-2</v>
      </c>
      <c r="P841">
        <v>2.597</v>
      </c>
      <c r="Q841">
        <v>111.2</v>
      </c>
      <c r="R841">
        <v>36.744999999999997</v>
      </c>
      <c r="S841">
        <v>128.35</v>
      </c>
    </row>
    <row r="842" spans="1:19" x14ac:dyDescent="0.3">
      <c r="A842" s="2">
        <v>45099</v>
      </c>
      <c r="B842">
        <v>70.86</v>
      </c>
      <c r="C842">
        <v>86.93</v>
      </c>
      <c r="D842">
        <v>100.23</v>
      </c>
      <c r="E842">
        <v>100.86</v>
      </c>
      <c r="F842">
        <v>95.63</v>
      </c>
      <c r="G842">
        <v>69.510000000000005</v>
      </c>
      <c r="H842">
        <v>74.14</v>
      </c>
      <c r="I842">
        <v>74.91</v>
      </c>
      <c r="J842">
        <v>103.3</v>
      </c>
      <c r="K842">
        <v>21.274702495201531</v>
      </c>
      <c r="L842">
        <v>75105.789999999994</v>
      </c>
      <c r="M842">
        <v>52192.19</v>
      </c>
      <c r="N842">
        <v>12.065</v>
      </c>
      <c r="O842">
        <v>5.3969999999999997E-2</v>
      </c>
      <c r="P842">
        <v>2.6080000000000001</v>
      </c>
      <c r="Q842">
        <v>110.68</v>
      </c>
      <c r="R842">
        <v>34.094999999999999</v>
      </c>
      <c r="S842">
        <v>126.7</v>
      </c>
    </row>
    <row r="843" spans="1:19" x14ac:dyDescent="0.3">
      <c r="A843" s="2">
        <v>45100</v>
      </c>
      <c r="B843">
        <v>70.13</v>
      </c>
      <c r="C843">
        <v>84.58</v>
      </c>
      <c r="D843">
        <v>100.69</v>
      </c>
      <c r="E843">
        <v>99.48</v>
      </c>
      <c r="F843">
        <v>97.08</v>
      </c>
      <c r="G843">
        <v>69.16</v>
      </c>
      <c r="H843">
        <v>73.849999999999994</v>
      </c>
      <c r="I843">
        <v>74.88</v>
      </c>
      <c r="J843">
        <v>102.4</v>
      </c>
      <c r="K843">
        <v>23.05</v>
      </c>
      <c r="L843">
        <v>74402.899999999994</v>
      </c>
      <c r="M843">
        <v>52739.92</v>
      </c>
      <c r="N843">
        <v>11.835000000000001</v>
      </c>
      <c r="O843">
        <v>5.3449999999999998E-2</v>
      </c>
      <c r="P843">
        <v>2.7290000000000001</v>
      </c>
      <c r="Q843">
        <v>111.09</v>
      </c>
      <c r="R843">
        <v>32.506999999999998</v>
      </c>
      <c r="S843">
        <v>127.2</v>
      </c>
    </row>
    <row r="844" spans="1:19" x14ac:dyDescent="0.3">
      <c r="A844" s="2">
        <v>45103</v>
      </c>
      <c r="B844">
        <v>70.13</v>
      </c>
      <c r="C844">
        <v>84.58</v>
      </c>
      <c r="D844">
        <v>100.69</v>
      </c>
      <c r="E844">
        <v>99.48</v>
      </c>
      <c r="F844">
        <v>97.08</v>
      </c>
      <c r="G844">
        <v>69.37</v>
      </c>
      <c r="H844">
        <v>74.180000000000007</v>
      </c>
      <c r="I844">
        <v>74.930000000000007</v>
      </c>
      <c r="J844">
        <v>104.29</v>
      </c>
      <c r="K844">
        <v>22.9</v>
      </c>
      <c r="L844">
        <v>74265.039999999994</v>
      </c>
      <c r="M844">
        <v>52113.04</v>
      </c>
      <c r="N844">
        <v>11.79</v>
      </c>
      <c r="O844">
        <v>5.3600000000000002E-2</v>
      </c>
      <c r="P844">
        <v>2.7909999999999999</v>
      </c>
      <c r="Q844">
        <v>110.13</v>
      </c>
      <c r="R844">
        <v>31.975000000000001</v>
      </c>
      <c r="S844">
        <v>129.44999999999999</v>
      </c>
    </row>
    <row r="845" spans="1:19" x14ac:dyDescent="0.3">
      <c r="A845" s="2">
        <v>45104</v>
      </c>
      <c r="B845">
        <v>70.13</v>
      </c>
      <c r="C845">
        <v>84.58</v>
      </c>
      <c r="D845">
        <v>100.69</v>
      </c>
      <c r="E845">
        <v>99.48</v>
      </c>
      <c r="F845">
        <v>97.08</v>
      </c>
      <c r="G845">
        <v>67.7</v>
      </c>
      <c r="H845">
        <v>72.260000000000005</v>
      </c>
      <c r="I845">
        <v>74.78</v>
      </c>
      <c r="J845">
        <v>104.55</v>
      </c>
      <c r="K845">
        <v>23.4</v>
      </c>
      <c r="L845">
        <v>74543.48</v>
      </c>
      <c r="M845">
        <v>50472.15</v>
      </c>
      <c r="N845">
        <v>12.07</v>
      </c>
      <c r="O845">
        <v>5.3960000000000001E-2</v>
      </c>
      <c r="P845">
        <v>2.7629999999999999</v>
      </c>
      <c r="Q845">
        <v>110.87</v>
      </c>
      <c r="R845">
        <v>34.505000000000003</v>
      </c>
      <c r="S845">
        <v>128.1</v>
      </c>
    </row>
    <row r="846" spans="1:19" x14ac:dyDescent="0.3">
      <c r="A846" s="2">
        <v>45105</v>
      </c>
      <c r="B846">
        <v>70.13</v>
      </c>
      <c r="C846">
        <v>84.58</v>
      </c>
      <c r="D846">
        <v>100.69</v>
      </c>
      <c r="E846">
        <v>99.48</v>
      </c>
      <c r="F846">
        <v>97.08</v>
      </c>
      <c r="G846">
        <v>69.56</v>
      </c>
      <c r="H846">
        <v>74.03</v>
      </c>
      <c r="I846">
        <v>74.94</v>
      </c>
      <c r="J846">
        <v>105.4</v>
      </c>
      <c r="K846">
        <v>23.55</v>
      </c>
      <c r="L846">
        <v>74831.11</v>
      </c>
      <c r="M846">
        <v>50050.78</v>
      </c>
      <c r="N846">
        <v>12.02</v>
      </c>
      <c r="O846">
        <v>5.357E-2</v>
      </c>
      <c r="P846">
        <v>2.6030000000000002</v>
      </c>
      <c r="Q846">
        <v>111.72</v>
      </c>
      <c r="R846">
        <v>34.125</v>
      </c>
      <c r="S846">
        <v>126.5</v>
      </c>
    </row>
    <row r="847" spans="1:19" x14ac:dyDescent="0.3">
      <c r="A847" s="2">
        <v>45106</v>
      </c>
      <c r="B847">
        <v>70.13</v>
      </c>
      <c r="C847">
        <v>84.58</v>
      </c>
      <c r="D847">
        <v>100.69</v>
      </c>
      <c r="E847">
        <v>99.48</v>
      </c>
      <c r="F847">
        <v>97.08</v>
      </c>
      <c r="G847">
        <v>69.86</v>
      </c>
      <c r="H847">
        <v>74.34</v>
      </c>
      <c r="I847">
        <v>74.95</v>
      </c>
      <c r="J847">
        <v>106.7</v>
      </c>
      <c r="K847">
        <v>23.5</v>
      </c>
      <c r="L847">
        <v>74892.509999999995</v>
      </c>
      <c r="M847">
        <v>50414.07</v>
      </c>
      <c r="N847">
        <v>12.12</v>
      </c>
      <c r="O847">
        <v>5.3260000000000002E-2</v>
      </c>
      <c r="P847">
        <v>2.7010000000000001</v>
      </c>
      <c r="Q847">
        <v>112.28</v>
      </c>
      <c r="R847">
        <v>35.18</v>
      </c>
      <c r="S847">
        <v>141.61602674307539</v>
      </c>
    </row>
    <row r="848" spans="1:19" x14ac:dyDescent="0.3">
      <c r="A848" s="2">
        <v>45107</v>
      </c>
      <c r="B848">
        <v>71.28</v>
      </c>
      <c r="C848">
        <v>87.01</v>
      </c>
      <c r="D848">
        <v>101.66</v>
      </c>
      <c r="E848">
        <v>100.88</v>
      </c>
      <c r="F848">
        <v>97.75</v>
      </c>
      <c r="G848">
        <v>70.64</v>
      </c>
      <c r="H848">
        <v>74.900000000000006</v>
      </c>
      <c r="I848">
        <v>74.989999999999995</v>
      </c>
      <c r="J848">
        <v>107.25</v>
      </c>
      <c r="K848">
        <v>23.95</v>
      </c>
      <c r="L848">
        <v>76027.83</v>
      </c>
      <c r="M848">
        <v>50739.12</v>
      </c>
      <c r="N848">
        <v>12.24</v>
      </c>
      <c r="O848">
        <v>5.3069999999999999E-2</v>
      </c>
      <c r="P848">
        <v>2.798</v>
      </c>
      <c r="Q848">
        <v>113.08</v>
      </c>
      <c r="R848">
        <v>37.103000000000002</v>
      </c>
      <c r="S848">
        <v>127.1</v>
      </c>
    </row>
    <row r="849" spans="1:19" x14ac:dyDescent="0.3">
      <c r="A849" s="2">
        <v>45110</v>
      </c>
      <c r="B849">
        <v>71.28</v>
      </c>
      <c r="C849">
        <v>87.01</v>
      </c>
      <c r="D849">
        <v>101.66</v>
      </c>
      <c r="E849">
        <v>100.88</v>
      </c>
      <c r="F849">
        <v>97.75</v>
      </c>
      <c r="G849">
        <v>69.790000000000006</v>
      </c>
      <c r="H849">
        <v>74.650000000000006</v>
      </c>
      <c r="I849">
        <v>74.91</v>
      </c>
      <c r="J849">
        <v>107.46</v>
      </c>
      <c r="K849">
        <v>24.3</v>
      </c>
      <c r="L849">
        <v>76233.929999999993</v>
      </c>
      <c r="M849">
        <v>51123.88</v>
      </c>
      <c r="N849">
        <v>12.08</v>
      </c>
      <c r="O849">
        <v>5.3330000000000002E-2</v>
      </c>
      <c r="P849">
        <v>2.7090000000000001</v>
      </c>
      <c r="Q849">
        <v>112.93</v>
      </c>
      <c r="R849">
        <v>33.93</v>
      </c>
      <c r="S849">
        <v>126.8</v>
      </c>
    </row>
    <row r="850" spans="1:19" x14ac:dyDescent="0.3">
      <c r="A850" s="2">
        <v>45111</v>
      </c>
      <c r="B850">
        <v>71.28</v>
      </c>
      <c r="C850">
        <v>87.01</v>
      </c>
      <c r="D850">
        <v>101.66</v>
      </c>
      <c r="E850">
        <v>100.88</v>
      </c>
      <c r="F850">
        <v>97.75</v>
      </c>
      <c r="G850">
        <v>71.06</v>
      </c>
      <c r="H850">
        <v>76.25</v>
      </c>
      <c r="I850">
        <v>74.752492970946577</v>
      </c>
      <c r="J850">
        <v>80.871012183692585</v>
      </c>
      <c r="K850">
        <v>24.15</v>
      </c>
      <c r="L850">
        <v>76223.7</v>
      </c>
      <c r="M850">
        <v>50949.99</v>
      </c>
      <c r="N850">
        <v>17.62252908067542</v>
      </c>
      <c r="O850">
        <v>5.3620000000000001E-2</v>
      </c>
      <c r="P850">
        <v>2.7509999999999999</v>
      </c>
      <c r="Q850">
        <v>112.7561105904405</v>
      </c>
      <c r="R850">
        <v>57.384855947955387</v>
      </c>
      <c r="S850">
        <v>124.65</v>
      </c>
    </row>
    <row r="851" spans="1:19" x14ac:dyDescent="0.3">
      <c r="A851" s="2">
        <v>45112</v>
      </c>
      <c r="B851">
        <v>71.28</v>
      </c>
      <c r="C851">
        <v>87.01</v>
      </c>
      <c r="D851">
        <v>101.66</v>
      </c>
      <c r="E851">
        <v>100.88</v>
      </c>
      <c r="F851">
        <v>97.75</v>
      </c>
      <c r="G851">
        <v>71.790000000000006</v>
      </c>
      <c r="H851">
        <v>76.650000000000006</v>
      </c>
      <c r="I851">
        <v>76.42</v>
      </c>
      <c r="J851">
        <v>106.91</v>
      </c>
      <c r="K851">
        <v>24.05</v>
      </c>
      <c r="L851">
        <v>75909.490000000005</v>
      </c>
      <c r="M851">
        <v>50894.97</v>
      </c>
      <c r="N851">
        <v>12.1</v>
      </c>
      <c r="O851">
        <v>5.3220000000000003E-2</v>
      </c>
      <c r="P851">
        <v>2.657</v>
      </c>
      <c r="Q851">
        <v>112.31</v>
      </c>
      <c r="R851">
        <v>34.375</v>
      </c>
      <c r="S851">
        <v>126</v>
      </c>
    </row>
    <row r="852" spans="1:19" x14ac:dyDescent="0.3">
      <c r="A852" s="2">
        <v>45113</v>
      </c>
      <c r="B852">
        <v>71.28</v>
      </c>
      <c r="C852">
        <v>87.01</v>
      </c>
      <c r="D852">
        <v>101.66</v>
      </c>
      <c r="E852">
        <v>100.88</v>
      </c>
      <c r="F852">
        <v>97.75</v>
      </c>
      <c r="G852">
        <v>71.8</v>
      </c>
      <c r="H852">
        <v>76.52</v>
      </c>
      <c r="I852">
        <v>76.540000000000006</v>
      </c>
      <c r="J852">
        <v>102.92</v>
      </c>
      <c r="K852">
        <v>23.8</v>
      </c>
      <c r="L852">
        <v>74113.22</v>
      </c>
      <c r="M852">
        <v>49003.58</v>
      </c>
      <c r="N852">
        <v>12.074999999999999</v>
      </c>
      <c r="O852">
        <v>5.2260000000000001E-2</v>
      </c>
      <c r="P852">
        <v>2.609</v>
      </c>
      <c r="Q852">
        <v>112</v>
      </c>
      <c r="R852">
        <v>32.35</v>
      </c>
      <c r="S852">
        <v>126.7</v>
      </c>
    </row>
    <row r="853" spans="1:19" x14ac:dyDescent="0.3">
      <c r="A853" s="2">
        <v>45114</v>
      </c>
      <c r="B853">
        <v>72.95</v>
      </c>
      <c r="C853">
        <v>89.24</v>
      </c>
      <c r="D853">
        <v>104.04</v>
      </c>
      <c r="E853">
        <v>102.9</v>
      </c>
      <c r="F853">
        <v>98.17</v>
      </c>
      <c r="G853">
        <v>73.86</v>
      </c>
      <c r="H853">
        <v>78.47</v>
      </c>
      <c r="I853">
        <v>78.239999999999995</v>
      </c>
      <c r="J853">
        <v>103.16</v>
      </c>
      <c r="K853">
        <v>23.5</v>
      </c>
      <c r="L853">
        <v>74823.02</v>
      </c>
      <c r="M853">
        <v>49142.64</v>
      </c>
      <c r="N853">
        <v>12.085000000000001</v>
      </c>
      <c r="O853">
        <v>5.2949999999999997E-2</v>
      </c>
      <c r="P853">
        <v>2.5819999999999999</v>
      </c>
      <c r="Q853">
        <v>112.29</v>
      </c>
      <c r="R853">
        <v>33.478000000000002</v>
      </c>
      <c r="S853">
        <v>125.4</v>
      </c>
    </row>
    <row r="854" spans="1:19" x14ac:dyDescent="0.3">
      <c r="A854" s="2">
        <v>45117</v>
      </c>
      <c r="B854">
        <v>72.95</v>
      </c>
      <c r="C854">
        <v>89.24</v>
      </c>
      <c r="D854">
        <v>104.04</v>
      </c>
      <c r="E854">
        <v>102.9</v>
      </c>
      <c r="F854">
        <v>98.17</v>
      </c>
      <c r="G854">
        <v>72.989999999999995</v>
      </c>
      <c r="H854">
        <v>77.69</v>
      </c>
      <c r="I854">
        <v>77.62</v>
      </c>
      <c r="J854">
        <v>104.69</v>
      </c>
      <c r="K854">
        <v>23.6</v>
      </c>
      <c r="L854">
        <v>74345.98</v>
      </c>
      <c r="M854">
        <v>48369.06</v>
      </c>
      <c r="N854">
        <v>12.06</v>
      </c>
      <c r="O854">
        <v>5.3199999999999997E-2</v>
      </c>
      <c r="P854">
        <v>2.669</v>
      </c>
      <c r="Q854">
        <v>113.16</v>
      </c>
      <c r="R854">
        <v>30.225000000000001</v>
      </c>
      <c r="S854">
        <v>123.7</v>
      </c>
    </row>
    <row r="855" spans="1:19" x14ac:dyDescent="0.3">
      <c r="A855" s="2">
        <v>45118</v>
      </c>
      <c r="B855">
        <v>72.95</v>
      </c>
      <c r="C855">
        <v>89.24</v>
      </c>
      <c r="D855">
        <v>104.04</v>
      </c>
      <c r="E855">
        <v>102.9</v>
      </c>
      <c r="F855">
        <v>98.17</v>
      </c>
      <c r="G855">
        <v>74.83</v>
      </c>
      <c r="H855">
        <v>79.400000000000006</v>
      </c>
      <c r="I855">
        <v>78.790000000000006</v>
      </c>
      <c r="J855">
        <v>105.97</v>
      </c>
      <c r="K855">
        <v>23.6</v>
      </c>
      <c r="L855">
        <v>74876.59</v>
      </c>
      <c r="M855">
        <v>49734.51</v>
      </c>
      <c r="N855">
        <v>12.02</v>
      </c>
      <c r="O855">
        <v>5.4059999999999997E-2</v>
      </c>
      <c r="P855">
        <v>2.7309999999999999</v>
      </c>
      <c r="Q855">
        <v>114.41</v>
      </c>
      <c r="R855">
        <v>29.06</v>
      </c>
      <c r="S855">
        <v>123.9</v>
      </c>
    </row>
    <row r="856" spans="1:19" x14ac:dyDescent="0.3">
      <c r="A856" s="2">
        <v>45119</v>
      </c>
      <c r="B856">
        <v>72.95</v>
      </c>
      <c r="C856">
        <v>89.24</v>
      </c>
      <c r="D856">
        <v>104.04</v>
      </c>
      <c r="E856">
        <v>102.9</v>
      </c>
      <c r="F856">
        <v>98.17</v>
      </c>
      <c r="G856">
        <v>75.75</v>
      </c>
      <c r="H856">
        <v>80.11</v>
      </c>
      <c r="I856">
        <v>79.069999999999993</v>
      </c>
      <c r="J856">
        <v>106.49</v>
      </c>
      <c r="K856">
        <v>23.7</v>
      </c>
      <c r="L856">
        <v>76544.789999999994</v>
      </c>
      <c r="M856">
        <v>51957.19</v>
      </c>
      <c r="N856">
        <v>11.975</v>
      </c>
      <c r="O856">
        <v>5.5129999999999998E-2</v>
      </c>
      <c r="P856">
        <v>2.597</v>
      </c>
      <c r="Q856">
        <v>115.38</v>
      </c>
      <c r="R856">
        <v>26.64</v>
      </c>
      <c r="S856">
        <v>123.55</v>
      </c>
    </row>
    <row r="857" spans="1:19" x14ac:dyDescent="0.3">
      <c r="A857" s="2">
        <v>45120</v>
      </c>
      <c r="B857">
        <v>72.95</v>
      </c>
      <c r="C857">
        <v>89.24</v>
      </c>
      <c r="D857">
        <v>104.04</v>
      </c>
      <c r="E857">
        <v>102.9</v>
      </c>
      <c r="F857">
        <v>98.17</v>
      </c>
      <c r="G857">
        <v>76.89</v>
      </c>
      <c r="H857">
        <v>81.36</v>
      </c>
      <c r="I857">
        <v>79.89</v>
      </c>
      <c r="J857">
        <v>104.54</v>
      </c>
      <c r="K857">
        <v>24</v>
      </c>
      <c r="L857">
        <v>77317.259999999995</v>
      </c>
      <c r="M857">
        <v>52898.09</v>
      </c>
      <c r="N857">
        <v>11.91</v>
      </c>
      <c r="O857">
        <v>5.5739999999999998E-2</v>
      </c>
      <c r="P857">
        <v>2.5339999999999998</v>
      </c>
      <c r="Q857">
        <v>117.04</v>
      </c>
      <c r="R857">
        <v>26.605</v>
      </c>
      <c r="S857">
        <v>121.6</v>
      </c>
    </row>
    <row r="858" spans="1:19" x14ac:dyDescent="0.3">
      <c r="A858" s="2">
        <v>45121</v>
      </c>
      <c r="B858">
        <v>64.62</v>
      </c>
      <c r="C858">
        <v>79.61</v>
      </c>
      <c r="D858">
        <v>93.42</v>
      </c>
      <c r="E858">
        <v>92.82</v>
      </c>
      <c r="F858">
        <v>94.9</v>
      </c>
      <c r="G858">
        <v>75.42</v>
      </c>
      <c r="H858">
        <v>79.87</v>
      </c>
      <c r="I858">
        <v>79.31</v>
      </c>
      <c r="J858">
        <v>100.94</v>
      </c>
      <c r="K858">
        <v>24</v>
      </c>
      <c r="L858">
        <v>77750.509999999995</v>
      </c>
      <c r="M858">
        <v>54399.94</v>
      </c>
      <c r="N858">
        <v>11.869</v>
      </c>
      <c r="O858">
        <v>5.5199999999999999E-2</v>
      </c>
      <c r="P858">
        <v>2.5299999999999998</v>
      </c>
      <c r="Q858">
        <v>117.51</v>
      </c>
      <c r="R858">
        <v>25.957000000000001</v>
      </c>
      <c r="S858">
        <v>123.75</v>
      </c>
    </row>
    <row r="859" spans="1:19" x14ac:dyDescent="0.3">
      <c r="A859" s="2">
        <v>45124</v>
      </c>
      <c r="B859">
        <v>64.62</v>
      </c>
      <c r="C859">
        <v>79.61</v>
      </c>
      <c r="D859">
        <v>93.42</v>
      </c>
      <c r="E859">
        <v>92.82</v>
      </c>
      <c r="F859">
        <v>94.9</v>
      </c>
      <c r="G859">
        <v>74.150000000000006</v>
      </c>
      <c r="H859">
        <v>78.5</v>
      </c>
      <c r="I859">
        <v>78.83</v>
      </c>
      <c r="J859">
        <v>101.38</v>
      </c>
      <c r="K859">
        <v>21.274702495201531</v>
      </c>
      <c r="L859">
        <v>77253.509999999995</v>
      </c>
      <c r="M859">
        <v>53866.21</v>
      </c>
      <c r="N859">
        <v>10.56</v>
      </c>
      <c r="O859">
        <v>5.543E-2</v>
      </c>
      <c r="P859">
        <v>2.504</v>
      </c>
      <c r="Q859">
        <v>116.64</v>
      </c>
      <c r="R859">
        <v>25.1</v>
      </c>
      <c r="S859">
        <v>124.55</v>
      </c>
    </row>
    <row r="860" spans="1:19" x14ac:dyDescent="0.3">
      <c r="A860" s="2">
        <v>45125</v>
      </c>
      <c r="B860">
        <v>64.62</v>
      </c>
      <c r="C860">
        <v>79.61</v>
      </c>
      <c r="D860">
        <v>93.42</v>
      </c>
      <c r="E860">
        <v>92.82</v>
      </c>
      <c r="F860">
        <v>94.9</v>
      </c>
      <c r="G860">
        <v>75.75</v>
      </c>
      <c r="H860">
        <v>79.63</v>
      </c>
      <c r="I860">
        <v>79.33</v>
      </c>
      <c r="J860">
        <v>100.92</v>
      </c>
      <c r="K860">
        <v>23.2</v>
      </c>
      <c r="L860">
        <v>77098.55</v>
      </c>
      <c r="M860">
        <v>55077.64</v>
      </c>
      <c r="N860">
        <v>11.02</v>
      </c>
      <c r="O860">
        <v>5.5969999999999999E-2</v>
      </c>
      <c r="P860">
        <v>2.6179999999999999</v>
      </c>
      <c r="Q860">
        <v>116.07</v>
      </c>
      <c r="R860">
        <v>27.07</v>
      </c>
      <c r="S860">
        <v>123.1</v>
      </c>
    </row>
    <row r="861" spans="1:19" x14ac:dyDescent="0.3">
      <c r="A861" s="2">
        <v>45126</v>
      </c>
      <c r="B861">
        <v>64.62</v>
      </c>
      <c r="C861">
        <v>79.61</v>
      </c>
      <c r="D861">
        <v>93.42</v>
      </c>
      <c r="E861">
        <v>92.82</v>
      </c>
      <c r="F861">
        <v>94.9</v>
      </c>
      <c r="G861">
        <v>75.349999999999994</v>
      </c>
      <c r="H861">
        <v>79.459999999999994</v>
      </c>
      <c r="I861">
        <v>79.3</v>
      </c>
      <c r="J861">
        <v>101.62</v>
      </c>
      <c r="K861">
        <v>23.15</v>
      </c>
      <c r="L861">
        <v>77080.97</v>
      </c>
      <c r="M861">
        <v>54864.02</v>
      </c>
      <c r="N861">
        <v>10.744999999999999</v>
      </c>
      <c r="O861">
        <v>5.5930000000000001E-2</v>
      </c>
      <c r="P861">
        <v>2.585</v>
      </c>
      <c r="Q861">
        <v>115.66</v>
      </c>
      <c r="R861">
        <v>26.965</v>
      </c>
      <c r="S861">
        <v>124.85</v>
      </c>
    </row>
    <row r="862" spans="1:19" x14ac:dyDescent="0.3">
      <c r="A862" s="2">
        <v>45127</v>
      </c>
      <c r="B862">
        <v>64.62</v>
      </c>
      <c r="C862">
        <v>79.61</v>
      </c>
      <c r="D862">
        <v>93.42</v>
      </c>
      <c r="E862">
        <v>92.82</v>
      </c>
      <c r="F862">
        <v>94.9</v>
      </c>
      <c r="G862">
        <v>75.63</v>
      </c>
      <c r="H862">
        <v>79.64</v>
      </c>
      <c r="I862">
        <v>79.41</v>
      </c>
      <c r="J862">
        <v>103.41</v>
      </c>
      <c r="K862">
        <v>23.1</v>
      </c>
      <c r="L862">
        <v>77016.83</v>
      </c>
      <c r="M862">
        <v>54507.8</v>
      </c>
      <c r="N862">
        <v>10.92</v>
      </c>
      <c r="O862">
        <v>5.5730000000000002E-2</v>
      </c>
      <c r="P862">
        <v>2.7309999999999999</v>
      </c>
      <c r="Q862">
        <v>115.63</v>
      </c>
      <c r="R862">
        <v>28.02</v>
      </c>
      <c r="S862">
        <v>124.1</v>
      </c>
    </row>
    <row r="863" spans="1:19" x14ac:dyDescent="0.3">
      <c r="A863" s="2">
        <v>45128</v>
      </c>
      <c r="B863">
        <v>68.77</v>
      </c>
      <c r="C863">
        <v>83.05</v>
      </c>
      <c r="D863">
        <v>94.84</v>
      </c>
      <c r="E863">
        <v>90.6</v>
      </c>
      <c r="F863">
        <v>97.63</v>
      </c>
      <c r="G863">
        <v>77.069999999999993</v>
      </c>
      <c r="H863">
        <v>81.069999999999993</v>
      </c>
      <c r="I863">
        <v>79.900000000000006</v>
      </c>
      <c r="J863">
        <v>103.89</v>
      </c>
      <c r="K863">
        <v>23.2</v>
      </c>
      <c r="L863">
        <v>76826.63</v>
      </c>
      <c r="M863">
        <v>53992.86</v>
      </c>
      <c r="N863">
        <v>10.885</v>
      </c>
      <c r="O863">
        <v>5.5730000000000002E-2</v>
      </c>
      <c r="P863">
        <v>2.7069999999999999</v>
      </c>
      <c r="Q863">
        <v>116.22</v>
      </c>
      <c r="R863">
        <v>28.164000000000001</v>
      </c>
      <c r="S863">
        <v>123.6</v>
      </c>
    </row>
    <row r="864" spans="1:19" x14ac:dyDescent="0.3">
      <c r="A864" s="2">
        <v>45131</v>
      </c>
      <c r="B864">
        <v>68.77</v>
      </c>
      <c r="C864">
        <v>83.05</v>
      </c>
      <c r="D864">
        <v>94.84</v>
      </c>
      <c r="E864">
        <v>90.6</v>
      </c>
      <c r="F864">
        <v>97.63</v>
      </c>
      <c r="G864">
        <v>78.739999999999995</v>
      </c>
      <c r="H864">
        <v>82.74</v>
      </c>
      <c r="I864">
        <v>80.3</v>
      </c>
      <c r="J864">
        <v>105.52</v>
      </c>
      <c r="K864">
        <v>22.75</v>
      </c>
      <c r="L864">
        <v>76766.070000000007</v>
      </c>
      <c r="M864">
        <v>53116.45</v>
      </c>
      <c r="N864">
        <v>11.26</v>
      </c>
      <c r="O864">
        <v>5.6340000000000001E-2</v>
      </c>
      <c r="P864">
        <v>2.6850000000000001</v>
      </c>
      <c r="Q864">
        <v>116.28</v>
      </c>
      <c r="R864">
        <v>30.555</v>
      </c>
      <c r="S864">
        <v>123.45</v>
      </c>
    </row>
    <row r="865" spans="1:19" x14ac:dyDescent="0.3">
      <c r="A865" s="2">
        <v>45132</v>
      </c>
      <c r="B865">
        <v>68.77</v>
      </c>
      <c r="C865">
        <v>83.05</v>
      </c>
      <c r="D865">
        <v>94.84</v>
      </c>
      <c r="E865">
        <v>90.6</v>
      </c>
      <c r="F865">
        <v>97.63</v>
      </c>
      <c r="G865">
        <v>79.63</v>
      </c>
      <c r="H865">
        <v>83.64</v>
      </c>
      <c r="I865">
        <v>80.489999999999995</v>
      </c>
      <c r="J865">
        <v>105.68</v>
      </c>
      <c r="K865">
        <v>23.3</v>
      </c>
      <c r="L865">
        <v>77525.62</v>
      </c>
      <c r="M865">
        <v>53084.56</v>
      </c>
      <c r="N865">
        <v>11.46</v>
      </c>
      <c r="O865">
        <v>5.697E-2</v>
      </c>
      <c r="P865">
        <v>2.73</v>
      </c>
      <c r="Q865">
        <v>116.54</v>
      </c>
      <c r="R865">
        <v>32.65</v>
      </c>
      <c r="S865">
        <v>123.4</v>
      </c>
    </row>
    <row r="866" spans="1:19" x14ac:dyDescent="0.3">
      <c r="A866" s="2">
        <v>45133</v>
      </c>
      <c r="B866">
        <v>68.77</v>
      </c>
      <c r="C866">
        <v>83.05</v>
      </c>
      <c r="D866">
        <v>94.84</v>
      </c>
      <c r="E866">
        <v>90.6</v>
      </c>
      <c r="F866">
        <v>97.63</v>
      </c>
      <c r="G866">
        <v>78.78</v>
      </c>
      <c r="H866">
        <v>82.92</v>
      </c>
      <c r="I866">
        <v>80.290000000000006</v>
      </c>
      <c r="J866">
        <v>105.09</v>
      </c>
      <c r="K866">
        <v>23.45</v>
      </c>
      <c r="L866">
        <v>77546.38</v>
      </c>
      <c r="M866">
        <v>53066.33</v>
      </c>
      <c r="N866">
        <v>11.1</v>
      </c>
      <c r="O866">
        <v>5.6730000000000003E-2</v>
      </c>
      <c r="P866">
        <v>2.665</v>
      </c>
      <c r="Q866">
        <v>116.73</v>
      </c>
      <c r="R866">
        <v>29.274999999999999</v>
      </c>
      <c r="S866">
        <v>124.4</v>
      </c>
    </row>
    <row r="867" spans="1:19" x14ac:dyDescent="0.3">
      <c r="A867" s="2">
        <v>45134</v>
      </c>
      <c r="B867">
        <v>68.77</v>
      </c>
      <c r="C867">
        <v>83.05</v>
      </c>
      <c r="D867">
        <v>94.84</v>
      </c>
      <c r="E867">
        <v>90.6</v>
      </c>
      <c r="F867">
        <v>97.63</v>
      </c>
      <c r="G867">
        <v>80.09</v>
      </c>
      <c r="H867">
        <v>84.24</v>
      </c>
      <c r="I867">
        <v>80.42</v>
      </c>
      <c r="J867">
        <v>105.42</v>
      </c>
      <c r="K867">
        <v>23.25</v>
      </c>
      <c r="L867">
        <v>78267.25</v>
      </c>
      <c r="M867">
        <v>52301.74</v>
      </c>
      <c r="N867">
        <v>10.97</v>
      </c>
      <c r="O867">
        <v>5.6030000000000003E-2</v>
      </c>
      <c r="P867">
        <v>2.492</v>
      </c>
      <c r="Q867">
        <v>114.93</v>
      </c>
      <c r="R867">
        <v>28.434999999999999</v>
      </c>
      <c r="S867">
        <v>119.95</v>
      </c>
    </row>
    <row r="868" spans="1:19" x14ac:dyDescent="0.3">
      <c r="A868" s="2">
        <v>45135</v>
      </c>
      <c r="B868">
        <v>72.430000000000007</v>
      </c>
      <c r="C868">
        <v>88.62</v>
      </c>
      <c r="D868">
        <v>101.66</v>
      </c>
      <c r="E868">
        <v>89.19</v>
      </c>
      <c r="F868">
        <v>97.25</v>
      </c>
      <c r="G868">
        <v>80.58</v>
      </c>
      <c r="H868">
        <v>84.99</v>
      </c>
      <c r="I868">
        <v>80.430000000000007</v>
      </c>
      <c r="J868">
        <v>104.16</v>
      </c>
      <c r="K868">
        <v>23.05</v>
      </c>
      <c r="L868">
        <v>78506.899999999994</v>
      </c>
      <c r="M868">
        <v>52660.1</v>
      </c>
      <c r="N868">
        <v>10.78</v>
      </c>
      <c r="O868">
        <v>5.6779999999999997E-2</v>
      </c>
      <c r="P868">
        <v>2.6379999999999999</v>
      </c>
      <c r="Q868">
        <v>115.13</v>
      </c>
      <c r="R868">
        <v>25.841000000000001</v>
      </c>
      <c r="S868">
        <v>122.6</v>
      </c>
    </row>
    <row r="869" spans="1:19" x14ac:dyDescent="0.3">
      <c r="A869" s="2">
        <v>45138</v>
      </c>
      <c r="B869">
        <v>72.430000000000007</v>
      </c>
      <c r="C869">
        <v>88.62</v>
      </c>
      <c r="D869">
        <v>101.66</v>
      </c>
      <c r="E869">
        <v>89.19</v>
      </c>
      <c r="F869">
        <v>97.25</v>
      </c>
      <c r="G869">
        <v>81.8</v>
      </c>
      <c r="H869">
        <v>85.56</v>
      </c>
      <c r="I869">
        <v>80.44</v>
      </c>
      <c r="J869">
        <v>107.24</v>
      </c>
      <c r="K869">
        <v>23.3</v>
      </c>
      <c r="L869">
        <v>78977.89</v>
      </c>
      <c r="M869">
        <v>53318.25</v>
      </c>
      <c r="N869">
        <v>10.92</v>
      </c>
      <c r="O869">
        <v>5.5989999999999998E-2</v>
      </c>
      <c r="P869">
        <v>2.6339999999999999</v>
      </c>
      <c r="Q869">
        <v>114.8</v>
      </c>
      <c r="R869">
        <v>28.364999999999998</v>
      </c>
      <c r="S869">
        <v>122.65</v>
      </c>
    </row>
    <row r="870" spans="1:19" x14ac:dyDescent="0.3">
      <c r="A870" s="2">
        <v>45139</v>
      </c>
      <c r="B870">
        <v>72.430000000000007</v>
      </c>
      <c r="C870">
        <v>88.62</v>
      </c>
      <c r="D870">
        <v>101.66</v>
      </c>
      <c r="E870">
        <v>89.19</v>
      </c>
      <c r="F870">
        <v>97.25</v>
      </c>
      <c r="G870">
        <v>81.37</v>
      </c>
      <c r="H870">
        <v>84.91</v>
      </c>
      <c r="I870">
        <v>85.58</v>
      </c>
      <c r="J870">
        <v>106.62</v>
      </c>
      <c r="K870">
        <v>23.35</v>
      </c>
      <c r="L870">
        <v>78641.91</v>
      </c>
      <c r="M870">
        <v>50580.29</v>
      </c>
      <c r="N870">
        <v>10.925000000000001</v>
      </c>
      <c r="O870">
        <v>5.4620000000000002E-2</v>
      </c>
      <c r="P870">
        <v>2.56</v>
      </c>
      <c r="Q870">
        <v>115.04</v>
      </c>
      <c r="R870">
        <v>27.125</v>
      </c>
      <c r="S870">
        <v>127.4</v>
      </c>
    </row>
    <row r="871" spans="1:19" x14ac:dyDescent="0.3">
      <c r="A871" s="2">
        <v>45140</v>
      </c>
      <c r="B871">
        <v>72.430000000000007</v>
      </c>
      <c r="C871">
        <v>88.62</v>
      </c>
      <c r="D871">
        <v>101.66</v>
      </c>
      <c r="E871">
        <v>89.19</v>
      </c>
      <c r="F871">
        <v>97.25</v>
      </c>
      <c r="G871">
        <v>79.489999999999995</v>
      </c>
      <c r="H871">
        <v>83.2</v>
      </c>
      <c r="I871">
        <v>84.32</v>
      </c>
      <c r="J871">
        <v>105.29</v>
      </c>
      <c r="K871">
        <v>22.8</v>
      </c>
      <c r="L871">
        <v>76477.22</v>
      </c>
      <c r="M871">
        <v>48595.19</v>
      </c>
      <c r="N871">
        <v>10.97</v>
      </c>
      <c r="O871">
        <v>5.4140000000000001E-2</v>
      </c>
      <c r="P871">
        <v>2.4769999999999999</v>
      </c>
      <c r="Q871">
        <v>115</v>
      </c>
      <c r="R871">
        <v>28.74</v>
      </c>
      <c r="S871">
        <v>126.9</v>
      </c>
    </row>
    <row r="872" spans="1:19" x14ac:dyDescent="0.3">
      <c r="A872" s="2">
        <v>45141</v>
      </c>
      <c r="B872">
        <v>72.430000000000007</v>
      </c>
      <c r="C872">
        <v>88.62</v>
      </c>
      <c r="D872">
        <v>101.66</v>
      </c>
      <c r="E872">
        <v>89.19</v>
      </c>
      <c r="F872">
        <v>97.25</v>
      </c>
      <c r="G872">
        <v>81.55</v>
      </c>
      <c r="H872">
        <v>85.14</v>
      </c>
      <c r="I872">
        <v>86.18</v>
      </c>
      <c r="J872">
        <v>107.12</v>
      </c>
      <c r="K872">
        <v>22.65</v>
      </c>
      <c r="L872">
        <v>76747.199999999997</v>
      </c>
      <c r="M872">
        <v>48724.1</v>
      </c>
      <c r="N872">
        <v>11</v>
      </c>
      <c r="O872">
        <v>5.3420000000000002E-2</v>
      </c>
      <c r="P872">
        <v>2.5649999999999999</v>
      </c>
      <c r="Q872">
        <v>112.07</v>
      </c>
      <c r="R872">
        <v>30.475000000000001</v>
      </c>
      <c r="S872">
        <v>126.1</v>
      </c>
    </row>
    <row r="873" spans="1:19" x14ac:dyDescent="0.3">
      <c r="A873" s="2">
        <v>45142</v>
      </c>
      <c r="B873">
        <v>72.3</v>
      </c>
      <c r="C873">
        <v>88.82</v>
      </c>
      <c r="D873">
        <v>101.37</v>
      </c>
      <c r="E873">
        <v>105.18</v>
      </c>
      <c r="F873">
        <v>99.29</v>
      </c>
      <c r="G873">
        <v>82.82</v>
      </c>
      <c r="H873">
        <v>86.24</v>
      </c>
      <c r="I873">
        <v>87.23</v>
      </c>
      <c r="J873">
        <v>107.42</v>
      </c>
      <c r="K873">
        <v>22.2</v>
      </c>
      <c r="L873">
        <v>76960.61</v>
      </c>
      <c r="M873">
        <v>48084.9</v>
      </c>
      <c r="N873">
        <v>10.955</v>
      </c>
      <c r="O873">
        <v>5.4109999999999998E-2</v>
      </c>
      <c r="P873">
        <v>2.577</v>
      </c>
      <c r="Q873">
        <v>114</v>
      </c>
      <c r="R873">
        <v>28.853000000000002</v>
      </c>
      <c r="S873">
        <v>127.05</v>
      </c>
    </row>
    <row r="874" spans="1:19" x14ac:dyDescent="0.3">
      <c r="A874" s="2">
        <v>45145</v>
      </c>
      <c r="B874">
        <v>72.3</v>
      </c>
      <c r="C874">
        <v>88.82</v>
      </c>
      <c r="D874">
        <v>101.37</v>
      </c>
      <c r="E874">
        <v>105.18</v>
      </c>
      <c r="F874">
        <v>99.29</v>
      </c>
      <c r="G874">
        <v>81.94</v>
      </c>
      <c r="H874">
        <v>85.34</v>
      </c>
      <c r="I874">
        <v>86.75</v>
      </c>
      <c r="J874">
        <v>107.2</v>
      </c>
      <c r="K874">
        <v>22.6</v>
      </c>
      <c r="L874">
        <v>77013.740000000005</v>
      </c>
      <c r="M874">
        <v>48149.99</v>
      </c>
      <c r="N874">
        <v>10.98</v>
      </c>
      <c r="O874">
        <v>5.3429999999999998E-2</v>
      </c>
      <c r="P874">
        <v>2.7250000000000001</v>
      </c>
      <c r="Q874">
        <v>116.07</v>
      </c>
      <c r="R874">
        <v>30.484999999999999</v>
      </c>
      <c r="S874">
        <v>126.9</v>
      </c>
    </row>
    <row r="875" spans="1:19" x14ac:dyDescent="0.3">
      <c r="A875" s="2">
        <v>45146</v>
      </c>
      <c r="B875">
        <v>72.3</v>
      </c>
      <c r="C875">
        <v>88.82</v>
      </c>
      <c r="D875">
        <v>101.37</v>
      </c>
      <c r="E875">
        <v>105.18</v>
      </c>
      <c r="F875">
        <v>99.29</v>
      </c>
      <c r="G875">
        <v>82.92</v>
      </c>
      <c r="H875">
        <v>86.17</v>
      </c>
      <c r="I875">
        <v>87.47</v>
      </c>
      <c r="J875">
        <v>107.73</v>
      </c>
      <c r="K875">
        <v>22.5</v>
      </c>
      <c r="L875">
        <v>76837.440000000002</v>
      </c>
      <c r="M875">
        <v>47825.59</v>
      </c>
      <c r="N875">
        <v>10.955</v>
      </c>
      <c r="O875">
        <v>5.2830000000000002E-2</v>
      </c>
      <c r="P875">
        <v>2.7770000000000001</v>
      </c>
      <c r="Q875">
        <v>114.87</v>
      </c>
      <c r="R875">
        <v>31.065000000000001</v>
      </c>
      <c r="S875">
        <v>129.05000000000001</v>
      </c>
    </row>
    <row r="876" spans="1:19" x14ac:dyDescent="0.3">
      <c r="A876" s="2">
        <v>45147</v>
      </c>
      <c r="B876">
        <v>72.3</v>
      </c>
      <c r="C876">
        <v>88.82</v>
      </c>
      <c r="D876">
        <v>101.37</v>
      </c>
      <c r="E876">
        <v>105.18</v>
      </c>
      <c r="F876">
        <v>99.29</v>
      </c>
      <c r="G876">
        <v>84.4</v>
      </c>
      <c r="H876">
        <v>87.55</v>
      </c>
      <c r="I876">
        <v>88.18</v>
      </c>
      <c r="J876">
        <v>109.56</v>
      </c>
      <c r="K876">
        <v>22.65</v>
      </c>
      <c r="L876">
        <v>68736.904810964072</v>
      </c>
      <c r="M876">
        <v>52972.178374291107</v>
      </c>
      <c r="N876">
        <v>11.03</v>
      </c>
      <c r="O876">
        <v>5.2650000000000002E-2</v>
      </c>
      <c r="P876">
        <v>2.9590000000000001</v>
      </c>
      <c r="Q876">
        <v>114.2</v>
      </c>
      <c r="R876">
        <v>39.825000000000003</v>
      </c>
      <c r="S876">
        <v>130.6</v>
      </c>
    </row>
    <row r="877" spans="1:19" x14ac:dyDescent="0.3">
      <c r="A877" s="2">
        <v>45148</v>
      </c>
      <c r="B877">
        <v>72.3</v>
      </c>
      <c r="C877">
        <v>88.82</v>
      </c>
      <c r="D877">
        <v>101.37</v>
      </c>
      <c r="E877">
        <v>105.18</v>
      </c>
      <c r="F877">
        <v>99.29</v>
      </c>
      <c r="G877">
        <v>82.82</v>
      </c>
      <c r="H877">
        <v>86.4</v>
      </c>
      <c r="I877">
        <v>87.32</v>
      </c>
      <c r="J877">
        <v>110.12</v>
      </c>
      <c r="K877">
        <v>22.9</v>
      </c>
      <c r="L877">
        <v>77749.679999999993</v>
      </c>
      <c r="M877">
        <v>47858.58</v>
      </c>
      <c r="N877">
        <v>11.045</v>
      </c>
      <c r="O877">
        <v>5.3039999999999997E-2</v>
      </c>
      <c r="P877">
        <v>2.7629999999999999</v>
      </c>
      <c r="Q877">
        <v>114.8</v>
      </c>
      <c r="R877">
        <v>37.055</v>
      </c>
      <c r="S877">
        <v>129.1</v>
      </c>
    </row>
    <row r="878" spans="1:19" x14ac:dyDescent="0.3">
      <c r="A878" s="2">
        <v>45149</v>
      </c>
      <c r="B878">
        <v>75.400000000000006</v>
      </c>
      <c r="C878">
        <v>92.25</v>
      </c>
      <c r="D878">
        <v>105.73</v>
      </c>
      <c r="E878">
        <v>111.3</v>
      </c>
      <c r="F878">
        <v>101.49</v>
      </c>
      <c r="G878">
        <v>83.19</v>
      </c>
      <c r="H878">
        <v>86.81</v>
      </c>
      <c r="I878">
        <v>87.63</v>
      </c>
      <c r="J878">
        <v>111.83</v>
      </c>
      <c r="K878">
        <v>22.5</v>
      </c>
      <c r="L878">
        <v>76974.259999999995</v>
      </c>
      <c r="M878">
        <v>47960.41</v>
      </c>
      <c r="N878">
        <v>11.085000000000001</v>
      </c>
      <c r="O878">
        <v>5.2830000000000002E-2</v>
      </c>
      <c r="P878">
        <v>2.77</v>
      </c>
      <c r="Q878">
        <v>113.99</v>
      </c>
      <c r="R878">
        <v>35.299999999999997</v>
      </c>
      <c r="S878">
        <v>128.5</v>
      </c>
    </row>
    <row r="879" spans="1:19" x14ac:dyDescent="0.3">
      <c r="A879" s="2">
        <v>45152</v>
      </c>
      <c r="B879">
        <v>75.400000000000006</v>
      </c>
      <c r="C879">
        <v>92.25</v>
      </c>
      <c r="D879">
        <v>105.73</v>
      </c>
      <c r="E879">
        <v>111.3</v>
      </c>
      <c r="F879">
        <v>101.49</v>
      </c>
      <c r="G879">
        <v>82.51</v>
      </c>
      <c r="H879">
        <v>86.21</v>
      </c>
      <c r="I879">
        <v>87.2</v>
      </c>
      <c r="J879">
        <v>111.92</v>
      </c>
      <c r="K879">
        <v>22.35</v>
      </c>
      <c r="L879">
        <v>76160.87</v>
      </c>
      <c r="M879">
        <v>46272.57</v>
      </c>
      <c r="N879">
        <v>11.145</v>
      </c>
      <c r="O879">
        <v>5.2400000000000002E-2</v>
      </c>
      <c r="P879">
        <v>2.7949999999999999</v>
      </c>
      <c r="Q879">
        <v>114.92</v>
      </c>
      <c r="R879">
        <v>34.435000000000002</v>
      </c>
      <c r="S879">
        <v>126.2</v>
      </c>
    </row>
    <row r="880" spans="1:19" x14ac:dyDescent="0.3">
      <c r="A880" s="2">
        <v>45153</v>
      </c>
      <c r="B880">
        <v>75.400000000000006</v>
      </c>
      <c r="C880">
        <v>92.25</v>
      </c>
      <c r="D880">
        <v>105.73</v>
      </c>
      <c r="E880">
        <v>111.3</v>
      </c>
      <c r="F880">
        <v>101.49</v>
      </c>
      <c r="G880">
        <v>80.989999999999995</v>
      </c>
      <c r="H880">
        <v>84.89</v>
      </c>
      <c r="I880">
        <v>86.39</v>
      </c>
      <c r="J880">
        <v>108.16</v>
      </c>
      <c r="K880">
        <v>22.25</v>
      </c>
      <c r="L880">
        <v>75590.77</v>
      </c>
      <c r="M880">
        <v>46473.07</v>
      </c>
      <c r="N880">
        <v>11.205</v>
      </c>
      <c r="O880">
        <v>5.2209999999999999E-2</v>
      </c>
      <c r="P880">
        <v>2.6589999999999998</v>
      </c>
      <c r="Q880">
        <v>114.11</v>
      </c>
      <c r="R880">
        <v>38.814999999999998</v>
      </c>
      <c r="S880">
        <v>141.61602674307539</v>
      </c>
    </row>
    <row r="881" spans="1:19" x14ac:dyDescent="0.3">
      <c r="A881" s="2">
        <v>45154</v>
      </c>
      <c r="B881">
        <v>75.400000000000006</v>
      </c>
      <c r="C881">
        <v>92.25</v>
      </c>
      <c r="D881">
        <v>105.73</v>
      </c>
      <c r="E881">
        <v>111.3</v>
      </c>
      <c r="F881">
        <v>101.49</v>
      </c>
      <c r="G881">
        <v>79.38</v>
      </c>
      <c r="H881">
        <v>83.45</v>
      </c>
      <c r="I881">
        <v>85.68</v>
      </c>
      <c r="J881">
        <v>106.34</v>
      </c>
      <c r="K881">
        <v>21.95</v>
      </c>
      <c r="L881">
        <v>74914.52</v>
      </c>
      <c r="M881">
        <v>45480.959999999999</v>
      </c>
      <c r="N881">
        <v>14.32</v>
      </c>
      <c r="O881">
        <v>5.2150000000000002E-2</v>
      </c>
      <c r="P881">
        <v>2.5920000000000001</v>
      </c>
      <c r="Q881">
        <v>113.97</v>
      </c>
      <c r="R881">
        <v>37.784999999999997</v>
      </c>
      <c r="S881">
        <v>125.2</v>
      </c>
    </row>
    <row r="882" spans="1:19" x14ac:dyDescent="0.3">
      <c r="A882" s="2">
        <v>45155</v>
      </c>
      <c r="B882">
        <v>75.400000000000006</v>
      </c>
      <c r="C882">
        <v>92.25</v>
      </c>
      <c r="D882">
        <v>105.73</v>
      </c>
      <c r="E882">
        <v>111.3</v>
      </c>
      <c r="F882">
        <v>101.49</v>
      </c>
      <c r="G882">
        <v>80.39</v>
      </c>
      <c r="H882">
        <v>84.12</v>
      </c>
      <c r="I882">
        <v>86</v>
      </c>
      <c r="J882">
        <v>108.4</v>
      </c>
      <c r="K882">
        <v>21.95</v>
      </c>
      <c r="L882">
        <v>74375.22</v>
      </c>
      <c r="M882">
        <v>42762.79</v>
      </c>
      <c r="N882">
        <v>14.16</v>
      </c>
      <c r="O882">
        <v>5.2420000000000001E-2</v>
      </c>
      <c r="P882">
        <v>2.621</v>
      </c>
      <c r="Q882">
        <v>113.61</v>
      </c>
      <c r="R882">
        <v>36.825000000000003</v>
      </c>
      <c r="S882">
        <v>126.35</v>
      </c>
    </row>
    <row r="883" spans="1:19" x14ac:dyDescent="0.3">
      <c r="A883" s="2">
        <v>45156</v>
      </c>
      <c r="B883">
        <v>79.28</v>
      </c>
      <c r="C883">
        <v>96.66</v>
      </c>
      <c r="D883">
        <v>110.94</v>
      </c>
      <c r="E883">
        <v>115.63</v>
      </c>
      <c r="F883">
        <v>103.82</v>
      </c>
      <c r="G883">
        <v>81.25</v>
      </c>
      <c r="H883">
        <v>84.8</v>
      </c>
      <c r="I883">
        <v>86.44</v>
      </c>
      <c r="J883">
        <v>110.04</v>
      </c>
      <c r="K883">
        <v>21.85</v>
      </c>
      <c r="L883">
        <v>73080.87</v>
      </c>
      <c r="M883">
        <v>42496.93</v>
      </c>
      <c r="N883">
        <v>13.95</v>
      </c>
      <c r="O883">
        <v>5.262E-2</v>
      </c>
      <c r="P883">
        <v>2.5510000000000002</v>
      </c>
      <c r="Q883">
        <v>113.75</v>
      </c>
      <c r="R883">
        <v>36.409999999999997</v>
      </c>
      <c r="S883">
        <v>123.9</v>
      </c>
    </row>
    <row r="884" spans="1:19" x14ac:dyDescent="0.3">
      <c r="A884" s="2">
        <v>45159</v>
      </c>
      <c r="B884">
        <v>79.28</v>
      </c>
      <c r="C884">
        <v>96.66</v>
      </c>
      <c r="D884">
        <v>110.94</v>
      </c>
      <c r="E884">
        <v>115.63</v>
      </c>
      <c r="F884">
        <v>103.82</v>
      </c>
      <c r="G884">
        <v>80.72</v>
      </c>
      <c r="H884">
        <v>84.46</v>
      </c>
      <c r="I884">
        <v>86.36</v>
      </c>
      <c r="J884">
        <v>108.71</v>
      </c>
      <c r="K884">
        <v>21.5</v>
      </c>
      <c r="L884">
        <v>73760.210000000006</v>
      </c>
      <c r="M884">
        <v>42232.66</v>
      </c>
      <c r="N884">
        <v>14.3</v>
      </c>
      <c r="O884">
        <v>5.2699999999999997E-2</v>
      </c>
      <c r="P884">
        <v>2.6320000000000001</v>
      </c>
      <c r="Q884">
        <v>113.86</v>
      </c>
      <c r="R884">
        <v>40.78</v>
      </c>
      <c r="S884">
        <v>124.35</v>
      </c>
    </row>
    <row r="885" spans="1:19" x14ac:dyDescent="0.3">
      <c r="A885" s="2">
        <v>45160</v>
      </c>
      <c r="B885">
        <v>79.28</v>
      </c>
      <c r="C885">
        <v>96.66</v>
      </c>
      <c r="D885">
        <v>110.94</v>
      </c>
      <c r="E885">
        <v>115.63</v>
      </c>
      <c r="F885">
        <v>103.82</v>
      </c>
      <c r="G885">
        <v>80.349999999999994</v>
      </c>
      <c r="H885">
        <v>84.03</v>
      </c>
      <c r="I885">
        <v>86.28</v>
      </c>
      <c r="J885">
        <v>108.1</v>
      </c>
      <c r="K885">
        <v>21.95</v>
      </c>
      <c r="L885">
        <v>73277.88</v>
      </c>
      <c r="M885">
        <v>42283.65</v>
      </c>
      <c r="N885">
        <v>14.3</v>
      </c>
      <c r="O885">
        <v>5.3179999999999998E-2</v>
      </c>
      <c r="P885">
        <v>2.56</v>
      </c>
      <c r="Q885">
        <v>113.25</v>
      </c>
      <c r="R885">
        <v>42.91</v>
      </c>
      <c r="S885">
        <v>124.5</v>
      </c>
    </row>
    <row r="886" spans="1:19" x14ac:dyDescent="0.3">
      <c r="A886" s="2">
        <v>45161</v>
      </c>
      <c r="B886">
        <v>79.28</v>
      </c>
      <c r="C886">
        <v>96.66</v>
      </c>
      <c r="D886">
        <v>110.94</v>
      </c>
      <c r="E886">
        <v>115.63</v>
      </c>
      <c r="F886">
        <v>103.82</v>
      </c>
      <c r="G886">
        <v>78.89</v>
      </c>
      <c r="H886">
        <v>83.21</v>
      </c>
      <c r="I886">
        <v>86.09</v>
      </c>
      <c r="J886">
        <v>107.15</v>
      </c>
      <c r="K886">
        <v>22.3</v>
      </c>
      <c r="L886">
        <v>74022.58</v>
      </c>
      <c r="M886">
        <v>44309.09</v>
      </c>
      <c r="N886">
        <v>13.734999999999999</v>
      </c>
      <c r="O886">
        <v>5.4089999999999999E-2</v>
      </c>
      <c r="P886">
        <v>2.4969999999999999</v>
      </c>
      <c r="Q886">
        <v>114.83</v>
      </c>
      <c r="R886">
        <v>36.784999999999997</v>
      </c>
      <c r="S886">
        <v>125.05</v>
      </c>
    </row>
    <row r="887" spans="1:19" x14ac:dyDescent="0.3">
      <c r="A887" s="2">
        <v>45162</v>
      </c>
      <c r="B887">
        <v>79.28</v>
      </c>
      <c r="C887">
        <v>96.66</v>
      </c>
      <c r="D887">
        <v>110.94</v>
      </c>
      <c r="E887">
        <v>115.63</v>
      </c>
      <c r="F887">
        <v>103.82</v>
      </c>
      <c r="G887">
        <v>79.05</v>
      </c>
      <c r="H887">
        <v>83.36</v>
      </c>
      <c r="I887">
        <v>86.18</v>
      </c>
      <c r="J887">
        <v>106.35</v>
      </c>
      <c r="K887">
        <v>22.25</v>
      </c>
      <c r="L887">
        <v>74301.56</v>
      </c>
      <c r="M887">
        <v>45260.42</v>
      </c>
      <c r="N887">
        <v>12.92</v>
      </c>
      <c r="O887">
        <v>5.3150000000000003E-2</v>
      </c>
      <c r="P887">
        <v>2.5190000000000001</v>
      </c>
      <c r="Q887">
        <v>115.26</v>
      </c>
      <c r="R887">
        <v>31.94</v>
      </c>
      <c r="S887">
        <v>124.9</v>
      </c>
    </row>
    <row r="888" spans="1:19" x14ac:dyDescent="0.3">
      <c r="A888" s="2">
        <v>45163</v>
      </c>
      <c r="B888">
        <v>82.54</v>
      </c>
      <c r="C888">
        <v>100.17</v>
      </c>
      <c r="D888">
        <v>115.36</v>
      </c>
      <c r="E888">
        <v>120.33</v>
      </c>
      <c r="F888">
        <v>105.88</v>
      </c>
      <c r="G888">
        <v>79.83</v>
      </c>
      <c r="H888">
        <v>84.48</v>
      </c>
      <c r="I888">
        <v>86.4</v>
      </c>
      <c r="J888">
        <v>108.25</v>
      </c>
      <c r="K888">
        <v>22.15</v>
      </c>
      <c r="L888">
        <v>73836.009999999995</v>
      </c>
      <c r="M888">
        <v>44840.81</v>
      </c>
      <c r="N888">
        <v>13.46</v>
      </c>
      <c r="O888">
        <v>5.3650000000000003E-2</v>
      </c>
      <c r="P888">
        <v>2.54</v>
      </c>
      <c r="Q888">
        <v>115.8</v>
      </c>
      <c r="R888">
        <v>34.774999999999999</v>
      </c>
      <c r="S888">
        <v>124.15</v>
      </c>
    </row>
    <row r="889" spans="1:19" x14ac:dyDescent="0.3">
      <c r="A889" s="2">
        <v>45166</v>
      </c>
      <c r="B889">
        <v>87.953183520599239</v>
      </c>
      <c r="C889">
        <v>113.3531554307116</v>
      </c>
      <c r="D889">
        <v>134.97180711610491</v>
      </c>
      <c r="E889">
        <v>144.35149446494461</v>
      </c>
      <c r="F889">
        <v>123.75970973782771</v>
      </c>
      <c r="G889">
        <v>80.099999999999994</v>
      </c>
      <c r="H889">
        <v>84.42</v>
      </c>
      <c r="I889">
        <v>86.39</v>
      </c>
      <c r="J889">
        <v>109.16</v>
      </c>
      <c r="K889">
        <v>22.55</v>
      </c>
      <c r="L889">
        <v>75079.61</v>
      </c>
      <c r="M889">
        <v>46001.120000000003</v>
      </c>
      <c r="N889">
        <v>13.46</v>
      </c>
      <c r="O889">
        <v>5.3719999999999997E-2</v>
      </c>
      <c r="P889">
        <v>2.5790000000000002</v>
      </c>
      <c r="Q889">
        <v>117.5</v>
      </c>
      <c r="R889">
        <v>38.414999999999999</v>
      </c>
      <c r="S889">
        <v>124.9</v>
      </c>
    </row>
    <row r="890" spans="1:19" x14ac:dyDescent="0.3">
      <c r="A890" s="2">
        <v>45167</v>
      </c>
      <c r="B890">
        <v>82.54</v>
      </c>
      <c r="C890">
        <v>100.17</v>
      </c>
      <c r="D890">
        <v>115.36</v>
      </c>
      <c r="E890">
        <v>120.33</v>
      </c>
      <c r="F890">
        <v>105.88</v>
      </c>
      <c r="G890">
        <v>81.16</v>
      </c>
      <c r="H890">
        <v>85.49</v>
      </c>
      <c r="I890">
        <v>86.43</v>
      </c>
      <c r="J890">
        <v>109.81</v>
      </c>
      <c r="K890">
        <v>22.8</v>
      </c>
      <c r="L890">
        <v>74776.179999999993</v>
      </c>
      <c r="M890">
        <v>45399.81</v>
      </c>
      <c r="N890">
        <v>13.395</v>
      </c>
      <c r="O890">
        <v>5.4100000000000002E-2</v>
      </c>
      <c r="P890">
        <v>2.556</v>
      </c>
      <c r="Q890">
        <v>118.57</v>
      </c>
      <c r="R890">
        <v>35.195</v>
      </c>
      <c r="S890">
        <v>125.55</v>
      </c>
    </row>
    <row r="891" spans="1:19" x14ac:dyDescent="0.3">
      <c r="A891" s="2">
        <v>45168</v>
      </c>
      <c r="B891">
        <v>82.54</v>
      </c>
      <c r="C891">
        <v>100.17</v>
      </c>
      <c r="D891">
        <v>115.36</v>
      </c>
      <c r="E891">
        <v>120.33</v>
      </c>
      <c r="F891">
        <v>105.88</v>
      </c>
      <c r="G891">
        <v>81.63</v>
      </c>
      <c r="H891">
        <v>85.86</v>
      </c>
      <c r="I891">
        <v>86.42</v>
      </c>
      <c r="J891">
        <v>110.88</v>
      </c>
      <c r="K891">
        <v>22.7</v>
      </c>
      <c r="L891">
        <v>75256.19</v>
      </c>
      <c r="M891">
        <v>46153.8</v>
      </c>
      <c r="N891">
        <v>13.404999999999999</v>
      </c>
      <c r="O891">
        <v>5.3510000000000002E-2</v>
      </c>
      <c r="P891">
        <v>2.7959999999999998</v>
      </c>
      <c r="Q891">
        <v>117.9</v>
      </c>
      <c r="R891">
        <v>35.991999999999997</v>
      </c>
      <c r="S891">
        <v>126.15</v>
      </c>
    </row>
    <row r="892" spans="1:19" x14ac:dyDescent="0.3">
      <c r="A892" s="2">
        <v>45169</v>
      </c>
      <c r="B892">
        <v>82.54</v>
      </c>
      <c r="C892">
        <v>100.17</v>
      </c>
      <c r="D892">
        <v>115.36</v>
      </c>
      <c r="E892">
        <v>120.33</v>
      </c>
      <c r="F892">
        <v>105.88</v>
      </c>
      <c r="G892">
        <v>83.63</v>
      </c>
      <c r="H892">
        <v>86.86</v>
      </c>
      <c r="I892">
        <v>86.46</v>
      </c>
      <c r="J892">
        <v>111.19</v>
      </c>
      <c r="K892">
        <v>22.85</v>
      </c>
      <c r="L892">
        <v>74953.73</v>
      </c>
      <c r="M892">
        <v>44965.07</v>
      </c>
      <c r="N892">
        <v>13.2</v>
      </c>
      <c r="O892">
        <v>5.2949999999999997E-2</v>
      </c>
      <c r="P892">
        <v>2.7679999999999998</v>
      </c>
      <c r="Q892">
        <v>117.99</v>
      </c>
      <c r="R892">
        <v>35.03</v>
      </c>
      <c r="S892">
        <v>126.2</v>
      </c>
    </row>
    <row r="893" spans="1:19" x14ac:dyDescent="0.3">
      <c r="A893" s="2">
        <v>45170</v>
      </c>
      <c r="B893">
        <v>81.790000000000006</v>
      </c>
      <c r="C893">
        <v>99.41</v>
      </c>
      <c r="D893">
        <v>113.72</v>
      </c>
      <c r="E893">
        <v>112.63</v>
      </c>
      <c r="F893">
        <v>108.31</v>
      </c>
      <c r="G893">
        <v>85.55</v>
      </c>
      <c r="H893">
        <v>88.55</v>
      </c>
      <c r="I893">
        <v>89.68</v>
      </c>
      <c r="J893">
        <v>113.52</v>
      </c>
      <c r="K893">
        <v>21.274702495201531</v>
      </c>
      <c r="L893">
        <v>74786.789999999994</v>
      </c>
      <c r="M893">
        <v>44067.88</v>
      </c>
      <c r="N893">
        <v>13.395</v>
      </c>
      <c r="O893">
        <v>5.305E-2</v>
      </c>
      <c r="P893">
        <v>2.7650000000000001</v>
      </c>
      <c r="Q893">
        <v>117.01</v>
      </c>
      <c r="R893">
        <v>35.616999999999997</v>
      </c>
      <c r="S893">
        <v>131.75</v>
      </c>
    </row>
    <row r="894" spans="1:19" x14ac:dyDescent="0.3">
      <c r="A894" s="2">
        <v>45173</v>
      </c>
      <c r="B894">
        <v>81.790000000000006</v>
      </c>
      <c r="C894">
        <v>99.41</v>
      </c>
      <c r="D894">
        <v>113.72</v>
      </c>
      <c r="E894">
        <v>112.63</v>
      </c>
      <c r="F894">
        <v>108.31</v>
      </c>
      <c r="G894">
        <v>85.82</v>
      </c>
      <c r="H894">
        <v>89</v>
      </c>
      <c r="I894">
        <v>74.752492970946577</v>
      </c>
      <c r="J894">
        <v>80.871012183692585</v>
      </c>
      <c r="K894">
        <v>23.65</v>
      </c>
      <c r="L894">
        <v>75375.22</v>
      </c>
      <c r="M894">
        <v>43743.199999999997</v>
      </c>
      <c r="N894">
        <v>17.62252908067542</v>
      </c>
      <c r="O894">
        <v>5.2420000000000001E-2</v>
      </c>
      <c r="P894">
        <v>2.6469999999999998</v>
      </c>
      <c r="Q894">
        <v>112.7561105904405</v>
      </c>
      <c r="R894">
        <v>33.795000000000002</v>
      </c>
      <c r="S894">
        <v>137.1</v>
      </c>
    </row>
    <row r="895" spans="1:19" x14ac:dyDescent="0.3">
      <c r="A895" s="2">
        <v>45174</v>
      </c>
      <c r="B895">
        <v>81.790000000000006</v>
      </c>
      <c r="C895">
        <v>99.41</v>
      </c>
      <c r="D895">
        <v>113.72</v>
      </c>
      <c r="E895">
        <v>112.63</v>
      </c>
      <c r="F895">
        <v>108.31</v>
      </c>
      <c r="G895">
        <v>86.69</v>
      </c>
      <c r="H895">
        <v>90.04</v>
      </c>
      <c r="I895">
        <v>90.8</v>
      </c>
      <c r="J895">
        <v>113.53</v>
      </c>
      <c r="K895">
        <v>23.5</v>
      </c>
      <c r="L895">
        <v>75016</v>
      </c>
      <c r="M895">
        <v>42658.83</v>
      </c>
      <c r="N895">
        <v>13.24</v>
      </c>
      <c r="O895">
        <v>5.203E-2</v>
      </c>
      <c r="P895">
        <v>2.5819999999999999</v>
      </c>
      <c r="Q895">
        <v>114.64</v>
      </c>
      <c r="R895">
        <v>34.450000000000003</v>
      </c>
      <c r="S895">
        <v>138.1</v>
      </c>
    </row>
    <row r="896" spans="1:19" x14ac:dyDescent="0.3">
      <c r="A896" s="2">
        <v>45175</v>
      </c>
      <c r="B896">
        <v>81.790000000000006</v>
      </c>
      <c r="C896">
        <v>99.41</v>
      </c>
      <c r="D896">
        <v>113.72</v>
      </c>
      <c r="E896">
        <v>112.63</v>
      </c>
      <c r="F896">
        <v>108.31</v>
      </c>
      <c r="G896">
        <v>87.54</v>
      </c>
      <c r="H896">
        <v>90.6</v>
      </c>
      <c r="I896">
        <v>91.69</v>
      </c>
      <c r="J896">
        <v>114.51</v>
      </c>
      <c r="K896">
        <v>23.45</v>
      </c>
      <c r="L896">
        <v>74411.02</v>
      </c>
      <c r="M896">
        <v>43057.13</v>
      </c>
      <c r="N896">
        <v>13.21</v>
      </c>
      <c r="O896">
        <v>5.2069999999999998E-2</v>
      </c>
      <c r="P896">
        <v>2.5099999999999998</v>
      </c>
      <c r="Q896">
        <v>113.61</v>
      </c>
      <c r="R896">
        <v>31.074999999999999</v>
      </c>
      <c r="S896">
        <v>137</v>
      </c>
    </row>
    <row r="897" spans="1:19" x14ac:dyDescent="0.3">
      <c r="A897" s="2">
        <v>45176</v>
      </c>
      <c r="B897">
        <v>81.790000000000006</v>
      </c>
      <c r="C897">
        <v>99.41</v>
      </c>
      <c r="D897">
        <v>113.72</v>
      </c>
      <c r="E897">
        <v>112.63</v>
      </c>
      <c r="F897">
        <v>108.31</v>
      </c>
      <c r="G897">
        <v>86.87</v>
      </c>
      <c r="H897">
        <v>89.92</v>
      </c>
      <c r="I897">
        <v>90.86</v>
      </c>
      <c r="J897">
        <v>113.95</v>
      </c>
      <c r="K897">
        <v>23.65</v>
      </c>
      <c r="L897">
        <v>73185.119999999995</v>
      </c>
      <c r="M897">
        <v>42462.9</v>
      </c>
      <c r="N897">
        <v>13.32</v>
      </c>
      <c r="O897">
        <v>5.2130000000000003E-2</v>
      </c>
      <c r="P897">
        <v>2.5790000000000002</v>
      </c>
      <c r="Q897">
        <v>115.23</v>
      </c>
      <c r="R897">
        <v>32.755000000000003</v>
      </c>
      <c r="S897">
        <v>138</v>
      </c>
    </row>
    <row r="898" spans="1:19" x14ac:dyDescent="0.3">
      <c r="A898" s="2">
        <v>45177</v>
      </c>
      <c r="B898">
        <v>79.64</v>
      </c>
      <c r="C898">
        <v>97.85</v>
      </c>
      <c r="D898">
        <v>111.5</v>
      </c>
      <c r="E898">
        <v>115.37</v>
      </c>
      <c r="F898">
        <v>108.41</v>
      </c>
      <c r="G898">
        <v>87.51</v>
      </c>
      <c r="H898">
        <v>90.65</v>
      </c>
      <c r="I898">
        <v>91.37</v>
      </c>
      <c r="J898">
        <v>115.61</v>
      </c>
      <c r="K898">
        <v>21.274702495201531</v>
      </c>
      <c r="L898">
        <v>73652.67</v>
      </c>
      <c r="M898">
        <v>42560.92</v>
      </c>
      <c r="N898">
        <v>13.33</v>
      </c>
      <c r="O898">
        <v>5.2260000000000001E-2</v>
      </c>
      <c r="P898">
        <v>2.605</v>
      </c>
      <c r="Q898">
        <v>114.96</v>
      </c>
      <c r="R898">
        <v>34.51</v>
      </c>
      <c r="S898">
        <v>142</v>
      </c>
    </row>
    <row r="899" spans="1:19" x14ac:dyDescent="0.3">
      <c r="A899" s="2">
        <v>45180</v>
      </c>
      <c r="B899">
        <v>79.64</v>
      </c>
      <c r="C899">
        <v>97.85</v>
      </c>
      <c r="D899">
        <v>111.5</v>
      </c>
      <c r="E899">
        <v>115.37</v>
      </c>
      <c r="F899">
        <v>108.41</v>
      </c>
      <c r="G899">
        <v>87.29</v>
      </c>
      <c r="H899">
        <v>90.64</v>
      </c>
      <c r="I899">
        <v>91.38</v>
      </c>
      <c r="J899">
        <v>114.16</v>
      </c>
      <c r="K899">
        <v>23.75</v>
      </c>
      <c r="L899">
        <v>74106.179999999993</v>
      </c>
      <c r="M899">
        <v>42814.45</v>
      </c>
      <c r="N899">
        <v>13.385</v>
      </c>
      <c r="O899">
        <v>5.2970000000000003E-2</v>
      </c>
      <c r="P899">
        <v>2.6080000000000001</v>
      </c>
      <c r="Q899">
        <v>115.03</v>
      </c>
      <c r="R899">
        <v>35.85</v>
      </c>
      <c r="S899">
        <v>140.19999999999999</v>
      </c>
    </row>
    <row r="900" spans="1:19" x14ac:dyDescent="0.3">
      <c r="A900" s="2">
        <v>45181</v>
      </c>
      <c r="B900">
        <v>79.64</v>
      </c>
      <c r="C900">
        <v>97.85</v>
      </c>
      <c r="D900">
        <v>111.5</v>
      </c>
      <c r="E900">
        <v>115.37</v>
      </c>
      <c r="F900">
        <v>108.41</v>
      </c>
      <c r="G900">
        <v>88.84</v>
      </c>
      <c r="H900">
        <v>92.06</v>
      </c>
      <c r="I900">
        <v>92.34</v>
      </c>
      <c r="J900">
        <v>117.49</v>
      </c>
      <c r="K900">
        <v>23.35</v>
      </c>
      <c r="L900">
        <v>74086.62</v>
      </c>
      <c r="M900">
        <v>43313.81</v>
      </c>
      <c r="N900">
        <v>13.39</v>
      </c>
      <c r="O900">
        <v>5.2859999999999997E-2</v>
      </c>
      <c r="P900">
        <v>2.7429999999999999</v>
      </c>
      <c r="Q900">
        <v>115.99</v>
      </c>
      <c r="R900">
        <v>34.700000000000003</v>
      </c>
      <c r="S900">
        <v>132.6</v>
      </c>
    </row>
    <row r="901" spans="1:19" x14ac:dyDescent="0.3">
      <c r="A901" s="2">
        <v>45182</v>
      </c>
      <c r="B901">
        <v>79.64</v>
      </c>
      <c r="C901">
        <v>97.85</v>
      </c>
      <c r="D901">
        <v>111.5</v>
      </c>
      <c r="E901">
        <v>115.37</v>
      </c>
      <c r="F901">
        <v>108.41</v>
      </c>
      <c r="G901">
        <v>88.52</v>
      </c>
      <c r="H901">
        <v>91.88</v>
      </c>
      <c r="I901">
        <v>92.18</v>
      </c>
      <c r="J901">
        <v>116.44</v>
      </c>
      <c r="K901">
        <v>23.75</v>
      </c>
      <c r="L901">
        <v>73302.559999999998</v>
      </c>
      <c r="M901">
        <v>43127.72</v>
      </c>
      <c r="N901">
        <v>13.39</v>
      </c>
      <c r="O901">
        <v>5.3150000000000003E-2</v>
      </c>
      <c r="P901">
        <v>2.68</v>
      </c>
      <c r="Q901">
        <v>116.77</v>
      </c>
      <c r="R901">
        <v>36.814999999999998</v>
      </c>
      <c r="S901">
        <v>134.35</v>
      </c>
    </row>
    <row r="902" spans="1:19" x14ac:dyDescent="0.3">
      <c r="A902" s="2">
        <v>45183</v>
      </c>
      <c r="B902">
        <v>79.64</v>
      </c>
      <c r="C902">
        <v>97.85</v>
      </c>
      <c r="D902">
        <v>111.5</v>
      </c>
      <c r="E902">
        <v>115.37</v>
      </c>
      <c r="F902">
        <v>108.41</v>
      </c>
      <c r="G902">
        <v>90.16</v>
      </c>
      <c r="H902">
        <v>93.7</v>
      </c>
      <c r="I902">
        <v>93.45</v>
      </c>
      <c r="J902">
        <v>118.52</v>
      </c>
      <c r="K902">
        <v>24.65</v>
      </c>
      <c r="L902">
        <v>74354.37</v>
      </c>
      <c r="M902">
        <v>44298.38</v>
      </c>
      <c r="N902">
        <v>13.365</v>
      </c>
      <c r="O902">
        <v>5.2560000000000003E-2</v>
      </c>
      <c r="P902">
        <v>2.7080000000000002</v>
      </c>
      <c r="Q902">
        <v>116.9</v>
      </c>
      <c r="R902">
        <v>35.520000000000003</v>
      </c>
      <c r="S902">
        <v>134.85</v>
      </c>
    </row>
    <row r="903" spans="1:19" x14ac:dyDescent="0.3">
      <c r="A903" s="2">
        <v>45184</v>
      </c>
      <c r="B903">
        <v>85.45</v>
      </c>
      <c r="C903">
        <v>104.8</v>
      </c>
      <c r="D903">
        <v>118.88</v>
      </c>
      <c r="E903">
        <v>122.34</v>
      </c>
      <c r="F903">
        <v>111.18</v>
      </c>
      <c r="G903">
        <v>90.77</v>
      </c>
      <c r="H903">
        <v>93.93</v>
      </c>
      <c r="I903">
        <v>93.56</v>
      </c>
      <c r="J903">
        <v>116.7</v>
      </c>
      <c r="K903">
        <v>24.7</v>
      </c>
      <c r="L903">
        <v>74589.81</v>
      </c>
      <c r="M903">
        <v>45703.05</v>
      </c>
      <c r="N903">
        <v>13.329000000000001</v>
      </c>
      <c r="O903">
        <v>5.2580000000000002E-2</v>
      </c>
      <c r="P903">
        <v>2.6440000000000001</v>
      </c>
      <c r="Q903">
        <v>115.72</v>
      </c>
      <c r="R903">
        <v>36.484999999999999</v>
      </c>
      <c r="S903">
        <v>134.35</v>
      </c>
    </row>
    <row r="904" spans="1:19" x14ac:dyDescent="0.3">
      <c r="A904" s="2">
        <v>45187</v>
      </c>
      <c r="B904">
        <v>85.45</v>
      </c>
      <c r="C904">
        <v>104.8</v>
      </c>
      <c r="D904">
        <v>118.88</v>
      </c>
      <c r="E904">
        <v>122.34</v>
      </c>
      <c r="F904">
        <v>111.18</v>
      </c>
      <c r="G904">
        <v>91.48</v>
      </c>
      <c r="H904">
        <v>94.43</v>
      </c>
      <c r="I904">
        <v>93.64</v>
      </c>
      <c r="J904">
        <v>117.64</v>
      </c>
      <c r="K904">
        <v>24.65</v>
      </c>
      <c r="L904">
        <v>73908.03</v>
      </c>
      <c r="M904">
        <v>45245.14</v>
      </c>
      <c r="N904">
        <v>13.99</v>
      </c>
      <c r="O904">
        <v>5.2580000000000002E-2</v>
      </c>
      <c r="P904">
        <v>2.7280000000000002</v>
      </c>
      <c r="Q904">
        <v>115.89</v>
      </c>
      <c r="R904">
        <v>34.475000000000001</v>
      </c>
      <c r="S904">
        <v>133</v>
      </c>
    </row>
    <row r="905" spans="1:19" x14ac:dyDescent="0.3">
      <c r="A905" s="2">
        <v>45188</v>
      </c>
      <c r="B905">
        <v>85.45</v>
      </c>
      <c r="C905">
        <v>104.8</v>
      </c>
      <c r="D905">
        <v>118.88</v>
      </c>
      <c r="E905">
        <v>122.34</v>
      </c>
      <c r="F905">
        <v>111.18</v>
      </c>
      <c r="G905">
        <v>91.2</v>
      </c>
      <c r="H905">
        <v>94.34</v>
      </c>
      <c r="I905">
        <v>93.15</v>
      </c>
      <c r="J905">
        <v>117.33</v>
      </c>
      <c r="K905">
        <v>25.3</v>
      </c>
      <c r="L905">
        <v>73806.42</v>
      </c>
      <c r="M905">
        <v>45048.18</v>
      </c>
      <c r="N905">
        <v>14.25</v>
      </c>
      <c r="O905">
        <v>5.2780000000000001E-2</v>
      </c>
      <c r="P905">
        <v>2.8479999999999999</v>
      </c>
      <c r="Q905">
        <v>115.47</v>
      </c>
      <c r="R905">
        <v>36.78</v>
      </c>
      <c r="S905">
        <v>141.61602674307539</v>
      </c>
    </row>
    <row r="906" spans="1:19" x14ac:dyDescent="0.3">
      <c r="A906" s="2">
        <v>45189</v>
      </c>
      <c r="B906">
        <v>85.45</v>
      </c>
      <c r="C906">
        <v>104.8</v>
      </c>
      <c r="D906">
        <v>118.88</v>
      </c>
      <c r="E906">
        <v>122.34</v>
      </c>
      <c r="F906">
        <v>111.18</v>
      </c>
      <c r="G906">
        <v>90.28</v>
      </c>
      <c r="H906">
        <v>93.53</v>
      </c>
      <c r="I906">
        <v>93.14</v>
      </c>
      <c r="J906">
        <v>116.4</v>
      </c>
      <c r="K906">
        <v>25.15</v>
      </c>
      <c r="L906">
        <v>74824.09</v>
      </c>
      <c r="M906">
        <v>46525.18</v>
      </c>
      <c r="N906">
        <v>14.24</v>
      </c>
      <c r="O906">
        <v>5.3030000000000001E-2</v>
      </c>
      <c r="P906">
        <v>2.7330000000000001</v>
      </c>
      <c r="Q906">
        <v>115.35</v>
      </c>
      <c r="R906">
        <v>37.284999999999997</v>
      </c>
      <c r="S906">
        <v>133</v>
      </c>
    </row>
    <row r="907" spans="1:19" x14ac:dyDescent="0.3">
      <c r="A907" s="2">
        <v>45190</v>
      </c>
      <c r="B907">
        <v>85.45</v>
      </c>
      <c r="C907">
        <v>104.8</v>
      </c>
      <c r="D907">
        <v>118.88</v>
      </c>
      <c r="E907">
        <v>122.34</v>
      </c>
      <c r="F907">
        <v>111.18</v>
      </c>
      <c r="G907">
        <v>89.63</v>
      </c>
      <c r="H907">
        <v>93.3</v>
      </c>
      <c r="I907">
        <v>93.04</v>
      </c>
      <c r="J907">
        <v>114.76</v>
      </c>
      <c r="K907">
        <v>24.95</v>
      </c>
      <c r="L907">
        <v>73238.11</v>
      </c>
      <c r="M907">
        <v>45080.22</v>
      </c>
      <c r="N907">
        <v>14.33</v>
      </c>
      <c r="O907">
        <v>5.2729999999999999E-2</v>
      </c>
      <c r="P907">
        <v>2.61</v>
      </c>
      <c r="Q907">
        <v>112.42</v>
      </c>
      <c r="R907">
        <v>39.104999999999997</v>
      </c>
      <c r="S907">
        <v>131.6</v>
      </c>
    </row>
    <row r="908" spans="1:19" x14ac:dyDescent="0.3">
      <c r="A908" s="2">
        <v>45191</v>
      </c>
      <c r="B908">
        <v>88.71</v>
      </c>
      <c r="C908">
        <v>107.76</v>
      </c>
      <c r="D908">
        <v>123.98</v>
      </c>
      <c r="E908">
        <v>131.77000000000001</v>
      </c>
      <c r="F908">
        <v>116.48</v>
      </c>
      <c r="G908">
        <v>90.03</v>
      </c>
      <c r="H908">
        <v>93.27</v>
      </c>
      <c r="I908">
        <v>93.05</v>
      </c>
      <c r="J908">
        <v>114.94</v>
      </c>
      <c r="K908">
        <v>25.15</v>
      </c>
      <c r="L908">
        <v>73398.78</v>
      </c>
      <c r="M908">
        <v>44977.93</v>
      </c>
      <c r="N908">
        <v>14.595000000000001</v>
      </c>
      <c r="O908">
        <v>5.3289999999999997E-2</v>
      </c>
      <c r="P908">
        <v>2.637</v>
      </c>
      <c r="Q908">
        <v>110.17</v>
      </c>
      <c r="R908">
        <v>39.790999999999997</v>
      </c>
      <c r="S908">
        <v>130.75</v>
      </c>
    </row>
    <row r="909" spans="1:19" x14ac:dyDescent="0.3">
      <c r="A909" s="2">
        <v>45194</v>
      </c>
      <c r="B909">
        <v>88.71</v>
      </c>
      <c r="C909">
        <v>107.76</v>
      </c>
      <c r="D909">
        <v>123.98</v>
      </c>
      <c r="E909">
        <v>131.77000000000001</v>
      </c>
      <c r="F909">
        <v>116.48</v>
      </c>
      <c r="G909">
        <v>89.68</v>
      </c>
      <c r="H909">
        <v>93.29</v>
      </c>
      <c r="I909">
        <v>92.91</v>
      </c>
      <c r="J909">
        <v>116.23</v>
      </c>
      <c r="K909">
        <v>25</v>
      </c>
      <c r="L909">
        <v>68736.904810964072</v>
      </c>
      <c r="M909">
        <v>52972.178374291107</v>
      </c>
      <c r="N909">
        <v>14.99</v>
      </c>
      <c r="O909">
        <v>5.323E-2</v>
      </c>
      <c r="P909">
        <v>2.6389999999999998</v>
      </c>
      <c r="Q909">
        <v>109.18</v>
      </c>
      <c r="R909">
        <v>44.44</v>
      </c>
      <c r="S909">
        <v>131.15</v>
      </c>
    </row>
    <row r="910" spans="1:19" x14ac:dyDescent="0.3">
      <c r="A910" s="2">
        <v>45195</v>
      </c>
      <c r="B910">
        <v>88.71</v>
      </c>
      <c r="C910">
        <v>107.76</v>
      </c>
      <c r="D910">
        <v>123.98</v>
      </c>
      <c r="E910">
        <v>131.77000000000001</v>
      </c>
      <c r="F910">
        <v>116.48</v>
      </c>
      <c r="G910">
        <v>90.39</v>
      </c>
      <c r="H910">
        <v>93.96</v>
      </c>
      <c r="I910">
        <v>93.03</v>
      </c>
      <c r="J910">
        <v>116.41</v>
      </c>
      <c r="K910">
        <v>24.75</v>
      </c>
      <c r="L910">
        <v>72652.100000000006</v>
      </c>
      <c r="M910">
        <v>44554.06</v>
      </c>
      <c r="N910">
        <v>14.65</v>
      </c>
      <c r="O910">
        <v>5.2400000000000002E-2</v>
      </c>
      <c r="P910">
        <v>2.6560000000000001</v>
      </c>
      <c r="Q910">
        <v>107.23</v>
      </c>
      <c r="R910">
        <v>40.32</v>
      </c>
      <c r="S910">
        <v>131.75</v>
      </c>
    </row>
    <row r="911" spans="1:19" x14ac:dyDescent="0.3">
      <c r="A911" s="2">
        <v>45196</v>
      </c>
      <c r="B911">
        <v>88.71</v>
      </c>
      <c r="C911">
        <v>107.76</v>
      </c>
      <c r="D911">
        <v>123.98</v>
      </c>
      <c r="E911">
        <v>131.77000000000001</v>
      </c>
      <c r="F911">
        <v>116.48</v>
      </c>
      <c r="G911">
        <v>93.68</v>
      </c>
      <c r="H911">
        <v>96.55</v>
      </c>
      <c r="I911">
        <v>93.26</v>
      </c>
      <c r="J911">
        <v>120.2</v>
      </c>
      <c r="K911">
        <v>24.9</v>
      </c>
      <c r="L911">
        <v>72174.14</v>
      </c>
      <c r="M911">
        <v>42759.26</v>
      </c>
      <c r="N911">
        <v>14.595000000000001</v>
      </c>
      <c r="O911">
        <v>5.2010000000000001E-2</v>
      </c>
      <c r="P911">
        <v>2.7639999999999998</v>
      </c>
      <c r="Q911">
        <v>108.27</v>
      </c>
      <c r="R911">
        <v>39.295000000000002</v>
      </c>
      <c r="S911">
        <v>132.1</v>
      </c>
    </row>
    <row r="912" spans="1:19" x14ac:dyDescent="0.3">
      <c r="A912" s="2">
        <v>45197</v>
      </c>
      <c r="B912">
        <v>88.71</v>
      </c>
      <c r="C912">
        <v>107.76</v>
      </c>
      <c r="D912">
        <v>123.98</v>
      </c>
      <c r="E912">
        <v>131.77000000000001</v>
      </c>
      <c r="F912">
        <v>116.48</v>
      </c>
      <c r="G912">
        <v>91.71</v>
      </c>
      <c r="H912">
        <v>95.38</v>
      </c>
      <c r="I912">
        <v>93.16</v>
      </c>
      <c r="J912">
        <v>119.47</v>
      </c>
      <c r="K912">
        <v>25.05</v>
      </c>
      <c r="L912">
        <v>72505.990000000005</v>
      </c>
      <c r="M912">
        <v>42280.93</v>
      </c>
      <c r="N912">
        <v>14.76</v>
      </c>
      <c r="O912">
        <v>5.2639999999999999E-2</v>
      </c>
      <c r="P912">
        <v>2.9449999999999998</v>
      </c>
      <c r="Q912">
        <v>110.82</v>
      </c>
      <c r="R912">
        <v>39.735999999999997</v>
      </c>
      <c r="S912">
        <v>131.05000000000001</v>
      </c>
    </row>
    <row r="913" spans="1:19" x14ac:dyDescent="0.3">
      <c r="A913" s="2">
        <v>45198</v>
      </c>
      <c r="B913">
        <v>89.84</v>
      </c>
      <c r="C913">
        <v>109.47</v>
      </c>
      <c r="D913">
        <v>125.8</v>
      </c>
      <c r="E913">
        <v>133.79</v>
      </c>
      <c r="F913">
        <v>118.29</v>
      </c>
      <c r="G913">
        <v>90.79</v>
      </c>
      <c r="H913">
        <v>95.31</v>
      </c>
      <c r="I913">
        <v>93.31</v>
      </c>
      <c r="J913">
        <v>117.58</v>
      </c>
      <c r="K913">
        <v>25.4</v>
      </c>
      <c r="L913">
        <v>72382.89</v>
      </c>
      <c r="M913">
        <v>41843.379999999997</v>
      </c>
      <c r="N913">
        <v>14.63</v>
      </c>
      <c r="O913">
        <v>5.2789999999999997E-2</v>
      </c>
      <c r="P913">
        <v>2.9289999999999998</v>
      </c>
      <c r="Q913">
        <v>110.02</v>
      </c>
      <c r="R913">
        <v>41.859000000000002</v>
      </c>
      <c r="S913">
        <v>132.19999999999999</v>
      </c>
    </row>
    <row r="914" spans="1:19" x14ac:dyDescent="0.3">
      <c r="A914" s="2">
        <v>45201</v>
      </c>
      <c r="B914">
        <v>89.84</v>
      </c>
      <c r="C914">
        <v>109.47</v>
      </c>
      <c r="D914">
        <v>125.8</v>
      </c>
      <c r="E914">
        <v>133.79</v>
      </c>
      <c r="F914">
        <v>118.29</v>
      </c>
      <c r="G914">
        <v>88.82</v>
      </c>
      <c r="H914">
        <v>90.71</v>
      </c>
      <c r="I914">
        <v>91.33</v>
      </c>
      <c r="J914">
        <v>115.63</v>
      </c>
      <c r="K914">
        <v>21.274702495201531</v>
      </c>
      <c r="L914">
        <v>71238.06</v>
      </c>
      <c r="M914">
        <v>40144.589999999997</v>
      </c>
      <c r="N914">
        <v>14.395</v>
      </c>
      <c r="O914">
        <v>5.2019999999999997E-2</v>
      </c>
      <c r="P914">
        <v>2.84</v>
      </c>
      <c r="Q914">
        <v>109.22</v>
      </c>
      <c r="R914">
        <v>39.335000000000001</v>
      </c>
      <c r="S914">
        <v>141.61602674307539</v>
      </c>
    </row>
    <row r="915" spans="1:19" x14ac:dyDescent="0.3">
      <c r="A915" s="2">
        <v>45202</v>
      </c>
      <c r="B915">
        <v>89.84</v>
      </c>
      <c r="C915">
        <v>109.47</v>
      </c>
      <c r="D915">
        <v>125.8</v>
      </c>
      <c r="E915">
        <v>133.79</v>
      </c>
      <c r="F915">
        <v>118.29</v>
      </c>
      <c r="G915">
        <v>89.23</v>
      </c>
      <c r="H915">
        <v>90.92</v>
      </c>
      <c r="I915">
        <v>91.43</v>
      </c>
      <c r="J915">
        <v>115.83</v>
      </c>
      <c r="K915">
        <v>24.4</v>
      </c>
      <c r="L915">
        <v>70773.210000000006</v>
      </c>
      <c r="M915">
        <v>39779.230000000003</v>
      </c>
      <c r="N915">
        <v>14.244999999999999</v>
      </c>
      <c r="O915">
        <v>5.1679999999999997E-2</v>
      </c>
      <c r="P915">
        <v>2.9489999999999998</v>
      </c>
      <c r="Q915">
        <v>107.59</v>
      </c>
      <c r="R915">
        <v>36.984999999999999</v>
      </c>
      <c r="S915">
        <v>133</v>
      </c>
    </row>
    <row r="916" spans="1:19" x14ac:dyDescent="0.3">
      <c r="A916" s="2">
        <v>45203</v>
      </c>
      <c r="B916">
        <v>89.84</v>
      </c>
      <c r="C916">
        <v>109.47</v>
      </c>
      <c r="D916">
        <v>125.8</v>
      </c>
      <c r="E916">
        <v>133.79</v>
      </c>
      <c r="F916">
        <v>118.29</v>
      </c>
      <c r="G916">
        <v>84.22</v>
      </c>
      <c r="H916">
        <v>85.81</v>
      </c>
      <c r="I916">
        <v>86.93</v>
      </c>
      <c r="J916">
        <v>111.5</v>
      </c>
      <c r="K916">
        <v>24.3</v>
      </c>
      <c r="L916">
        <v>70564.69</v>
      </c>
      <c r="M916">
        <v>39722.82</v>
      </c>
      <c r="N916">
        <v>14.15</v>
      </c>
      <c r="O916">
        <v>5.1670000000000001E-2</v>
      </c>
      <c r="P916">
        <v>2.9620000000000002</v>
      </c>
      <c r="Q916">
        <v>109.03</v>
      </c>
      <c r="R916">
        <v>38.44</v>
      </c>
      <c r="S916">
        <v>129.65</v>
      </c>
    </row>
    <row r="917" spans="1:19" x14ac:dyDescent="0.3">
      <c r="A917" s="2">
        <v>45204</v>
      </c>
      <c r="B917">
        <v>89.84</v>
      </c>
      <c r="C917">
        <v>109.47</v>
      </c>
      <c r="D917">
        <v>125.8</v>
      </c>
      <c r="E917">
        <v>133.79</v>
      </c>
      <c r="F917">
        <v>118.29</v>
      </c>
      <c r="G917">
        <v>82.31</v>
      </c>
      <c r="H917">
        <v>84.07</v>
      </c>
      <c r="I917">
        <v>85.5</v>
      </c>
      <c r="J917">
        <v>108.99</v>
      </c>
      <c r="K917">
        <v>24.3</v>
      </c>
      <c r="L917">
        <v>71249.59</v>
      </c>
      <c r="M917">
        <v>39830.99</v>
      </c>
      <c r="N917">
        <v>14.105</v>
      </c>
      <c r="O917">
        <v>5.1209999999999999E-2</v>
      </c>
      <c r="P917">
        <v>3.1659999999999999</v>
      </c>
      <c r="Q917">
        <v>109.69</v>
      </c>
      <c r="R917">
        <v>36.204999999999998</v>
      </c>
      <c r="S917">
        <v>133.19999999999999</v>
      </c>
    </row>
    <row r="918" spans="1:19" x14ac:dyDescent="0.3">
      <c r="A918" s="2">
        <v>45205</v>
      </c>
      <c r="B918">
        <v>84.48</v>
      </c>
      <c r="C918">
        <v>101.92</v>
      </c>
      <c r="D918">
        <v>117.35</v>
      </c>
      <c r="E918">
        <v>125.44</v>
      </c>
      <c r="F918">
        <v>119.6</v>
      </c>
      <c r="G918">
        <v>82.79</v>
      </c>
      <c r="H918">
        <v>84.58</v>
      </c>
      <c r="I918">
        <v>85.88</v>
      </c>
      <c r="J918">
        <v>107.17</v>
      </c>
      <c r="K918">
        <v>24.5</v>
      </c>
      <c r="L918">
        <v>71657.25</v>
      </c>
      <c r="M918">
        <v>40455.800000000003</v>
      </c>
      <c r="N918">
        <v>14.074999999999999</v>
      </c>
      <c r="O918">
        <v>5.1720000000000002E-2</v>
      </c>
      <c r="P918">
        <v>3.3380000000000001</v>
      </c>
      <c r="Q918">
        <v>110.88</v>
      </c>
      <c r="R918">
        <v>38.231000000000002</v>
      </c>
      <c r="S918">
        <v>133.80000000000001</v>
      </c>
    </row>
    <row r="919" spans="1:19" x14ac:dyDescent="0.3">
      <c r="A919" s="2">
        <v>45208</v>
      </c>
      <c r="B919">
        <v>84.48</v>
      </c>
      <c r="C919">
        <v>101.92</v>
      </c>
      <c r="D919">
        <v>117.35</v>
      </c>
      <c r="E919">
        <v>125.44</v>
      </c>
      <c r="F919">
        <v>119.6</v>
      </c>
      <c r="G919">
        <v>86.38</v>
      </c>
      <c r="H919">
        <v>88.15</v>
      </c>
      <c r="I919">
        <v>88.54</v>
      </c>
      <c r="J919">
        <v>110.92</v>
      </c>
      <c r="K919">
        <v>25</v>
      </c>
      <c r="L919">
        <v>71648.39</v>
      </c>
      <c r="M919">
        <v>42542.51</v>
      </c>
      <c r="N919">
        <v>14.154999999999999</v>
      </c>
      <c r="O919">
        <v>5.1700000000000003E-2</v>
      </c>
      <c r="P919">
        <v>3.3759999999999999</v>
      </c>
      <c r="Q919">
        <v>112.13</v>
      </c>
      <c r="R919">
        <v>43.954999999999998</v>
      </c>
      <c r="S919">
        <v>131.5</v>
      </c>
    </row>
    <row r="920" spans="1:19" x14ac:dyDescent="0.3">
      <c r="A920" s="2">
        <v>45209</v>
      </c>
      <c r="B920">
        <v>84.48</v>
      </c>
      <c r="C920">
        <v>101.92</v>
      </c>
      <c r="D920">
        <v>117.35</v>
      </c>
      <c r="E920">
        <v>125.44</v>
      </c>
      <c r="F920">
        <v>119.6</v>
      </c>
      <c r="G920">
        <v>85.97</v>
      </c>
      <c r="H920">
        <v>87.65</v>
      </c>
      <c r="I920">
        <v>88.22</v>
      </c>
      <c r="J920">
        <v>110.45</v>
      </c>
      <c r="K920">
        <v>24.8</v>
      </c>
      <c r="L920">
        <v>73840.5</v>
      </c>
      <c r="M920">
        <v>44879.21</v>
      </c>
      <c r="N920">
        <v>14.244999999999999</v>
      </c>
      <c r="O920">
        <v>5.2560000000000003E-2</v>
      </c>
      <c r="P920">
        <v>3.3820000000000001</v>
      </c>
      <c r="Q920">
        <v>111.76</v>
      </c>
      <c r="R920">
        <v>49.454999999999998</v>
      </c>
      <c r="S920">
        <v>134</v>
      </c>
    </row>
    <row r="921" spans="1:19" x14ac:dyDescent="0.3">
      <c r="A921" s="2">
        <v>45210</v>
      </c>
      <c r="B921">
        <v>84.48</v>
      </c>
      <c r="C921">
        <v>101.92</v>
      </c>
      <c r="D921">
        <v>117.35</v>
      </c>
      <c r="E921">
        <v>125.44</v>
      </c>
      <c r="F921">
        <v>119.6</v>
      </c>
      <c r="G921">
        <v>83.49</v>
      </c>
      <c r="H921">
        <v>85.82</v>
      </c>
      <c r="I921">
        <v>87.21</v>
      </c>
      <c r="J921">
        <v>106.49</v>
      </c>
      <c r="K921">
        <v>24.7</v>
      </c>
      <c r="L921">
        <v>73849.53</v>
      </c>
      <c r="M921">
        <v>45475.45</v>
      </c>
      <c r="N921">
        <v>14.305</v>
      </c>
      <c r="O921">
        <v>5.3080000000000002E-2</v>
      </c>
      <c r="P921">
        <v>3.3769999999999998</v>
      </c>
      <c r="Q921">
        <v>111.45</v>
      </c>
      <c r="R921">
        <v>46.07</v>
      </c>
      <c r="S921">
        <v>133.19999999999999</v>
      </c>
    </row>
    <row r="922" spans="1:19" x14ac:dyDescent="0.3">
      <c r="A922" s="2">
        <v>45211</v>
      </c>
      <c r="B922">
        <v>84.48</v>
      </c>
      <c r="C922">
        <v>101.92</v>
      </c>
      <c r="D922">
        <v>117.35</v>
      </c>
      <c r="E922">
        <v>125.44</v>
      </c>
      <c r="F922">
        <v>119.6</v>
      </c>
      <c r="G922">
        <v>82.91</v>
      </c>
      <c r="H922">
        <v>86</v>
      </c>
      <c r="I922">
        <v>87.37</v>
      </c>
      <c r="J922">
        <v>106.47</v>
      </c>
      <c r="K922">
        <v>24.75</v>
      </c>
      <c r="L922">
        <v>73390.81</v>
      </c>
      <c r="M922">
        <v>46076.33</v>
      </c>
      <c r="N922">
        <v>14.36</v>
      </c>
      <c r="O922">
        <v>5.2549999999999999E-2</v>
      </c>
      <c r="P922">
        <v>3.3439999999999999</v>
      </c>
      <c r="Q922">
        <v>110.77</v>
      </c>
      <c r="R922">
        <v>53</v>
      </c>
      <c r="S922">
        <v>134.9</v>
      </c>
    </row>
    <row r="923" spans="1:19" x14ac:dyDescent="0.3">
      <c r="A923" s="2">
        <v>45212</v>
      </c>
      <c r="B923">
        <v>91.16</v>
      </c>
      <c r="C923">
        <v>112.25</v>
      </c>
      <c r="D923">
        <v>125.93</v>
      </c>
      <c r="E923">
        <v>133.41</v>
      </c>
      <c r="F923">
        <v>123.7</v>
      </c>
      <c r="G923">
        <v>87.69</v>
      </c>
      <c r="H923">
        <v>90.89</v>
      </c>
      <c r="I923">
        <v>90.12</v>
      </c>
      <c r="J923">
        <v>109.87</v>
      </c>
      <c r="K923">
        <v>24.6</v>
      </c>
      <c r="L923">
        <v>72919.72</v>
      </c>
      <c r="M923">
        <v>48333.07</v>
      </c>
      <c r="N923">
        <v>14.475</v>
      </c>
      <c r="O923">
        <v>5.2639999999999999E-2</v>
      </c>
      <c r="P923">
        <v>3.2360000000000002</v>
      </c>
      <c r="Q923">
        <v>110.43</v>
      </c>
      <c r="R923">
        <v>53.981999999999999</v>
      </c>
      <c r="S923">
        <v>134.5</v>
      </c>
    </row>
    <row r="924" spans="1:19" x14ac:dyDescent="0.3">
      <c r="A924" s="2">
        <v>45215</v>
      </c>
      <c r="B924">
        <v>91.16</v>
      </c>
      <c r="C924">
        <v>112.25</v>
      </c>
      <c r="D924">
        <v>125.93</v>
      </c>
      <c r="E924">
        <v>133.41</v>
      </c>
      <c r="F924">
        <v>123.7</v>
      </c>
      <c r="G924">
        <v>86.66</v>
      </c>
      <c r="H924">
        <v>89.65</v>
      </c>
      <c r="I924">
        <v>89.61</v>
      </c>
      <c r="J924">
        <v>109.95</v>
      </c>
      <c r="K924">
        <v>24.95</v>
      </c>
      <c r="L924">
        <v>73146.75</v>
      </c>
      <c r="M924">
        <v>47887.94</v>
      </c>
      <c r="N924">
        <v>17.72</v>
      </c>
      <c r="O924">
        <v>5.323E-2</v>
      </c>
      <c r="P924">
        <v>3.109</v>
      </c>
      <c r="Q924">
        <v>111.92</v>
      </c>
      <c r="R924">
        <v>48.465000000000003</v>
      </c>
      <c r="S924">
        <v>135.1</v>
      </c>
    </row>
    <row r="925" spans="1:19" x14ac:dyDescent="0.3">
      <c r="A925" s="2">
        <v>45216</v>
      </c>
      <c r="B925">
        <v>91.16</v>
      </c>
      <c r="C925">
        <v>112.25</v>
      </c>
      <c r="D925">
        <v>125.93</v>
      </c>
      <c r="E925">
        <v>133.41</v>
      </c>
      <c r="F925">
        <v>123.7</v>
      </c>
      <c r="G925">
        <v>86.66</v>
      </c>
      <c r="H925">
        <v>89.9</v>
      </c>
      <c r="I925">
        <v>89.84</v>
      </c>
      <c r="J925">
        <v>111.39</v>
      </c>
      <c r="K925">
        <v>24.75</v>
      </c>
      <c r="L925">
        <v>72831.8</v>
      </c>
      <c r="M925">
        <v>48304.44</v>
      </c>
      <c r="N925">
        <v>17.645</v>
      </c>
      <c r="O925">
        <v>5.3100000000000001E-2</v>
      </c>
      <c r="P925">
        <v>3.0790000000000002</v>
      </c>
      <c r="Q925">
        <v>111.76</v>
      </c>
      <c r="R925">
        <v>48.895000000000003</v>
      </c>
      <c r="S925">
        <v>136</v>
      </c>
    </row>
    <row r="926" spans="1:19" x14ac:dyDescent="0.3">
      <c r="A926" s="2">
        <v>45217</v>
      </c>
      <c r="B926">
        <v>91.16</v>
      </c>
      <c r="C926">
        <v>112.25</v>
      </c>
      <c r="D926">
        <v>125.93</v>
      </c>
      <c r="E926">
        <v>133.41</v>
      </c>
      <c r="F926">
        <v>123.7</v>
      </c>
      <c r="G926">
        <v>88.32</v>
      </c>
      <c r="H926">
        <v>91.5</v>
      </c>
      <c r="I926">
        <v>90.53</v>
      </c>
      <c r="J926">
        <v>112.95</v>
      </c>
      <c r="K926">
        <v>24.75</v>
      </c>
      <c r="L926">
        <v>71968.67</v>
      </c>
      <c r="M926">
        <v>47493.34</v>
      </c>
      <c r="N926">
        <v>18.29</v>
      </c>
      <c r="O926">
        <v>5.2639999999999999E-2</v>
      </c>
      <c r="P926">
        <v>3.056</v>
      </c>
      <c r="Q926">
        <v>109.64</v>
      </c>
      <c r="R926">
        <v>50.835000000000001</v>
      </c>
      <c r="S926">
        <v>133.6</v>
      </c>
    </row>
    <row r="927" spans="1:19" x14ac:dyDescent="0.3">
      <c r="A927" s="2">
        <v>45218</v>
      </c>
      <c r="B927">
        <v>91.16</v>
      </c>
      <c r="C927">
        <v>112.25</v>
      </c>
      <c r="D927">
        <v>125.93</v>
      </c>
      <c r="E927">
        <v>133.41</v>
      </c>
      <c r="F927">
        <v>123.7</v>
      </c>
      <c r="G927">
        <v>89.37</v>
      </c>
      <c r="H927">
        <v>92.38</v>
      </c>
      <c r="I927">
        <v>90.83</v>
      </c>
      <c r="J927">
        <v>113.02</v>
      </c>
      <c r="K927">
        <v>24.2</v>
      </c>
      <c r="L927">
        <v>70961.33</v>
      </c>
      <c r="M927">
        <v>46016.37</v>
      </c>
      <c r="N927">
        <v>18.245000000000001</v>
      </c>
      <c r="O927">
        <v>5.2560000000000003E-2</v>
      </c>
      <c r="P927">
        <v>2.9569999999999999</v>
      </c>
      <c r="Q927">
        <v>109.57</v>
      </c>
      <c r="R927">
        <v>50.17</v>
      </c>
      <c r="S927">
        <v>133.69999999999999</v>
      </c>
    </row>
    <row r="928" spans="1:19" x14ac:dyDescent="0.3">
      <c r="A928" s="2">
        <v>45219</v>
      </c>
      <c r="B928">
        <v>94.45</v>
      </c>
      <c r="C928">
        <v>113.71</v>
      </c>
      <c r="D928">
        <v>128.44</v>
      </c>
      <c r="E928">
        <v>134.72999999999999</v>
      </c>
      <c r="F928">
        <v>124.55</v>
      </c>
      <c r="G928">
        <v>88.75</v>
      </c>
      <c r="H928">
        <v>92.16</v>
      </c>
      <c r="I928">
        <v>90.66</v>
      </c>
      <c r="J928">
        <v>111.08</v>
      </c>
      <c r="K928">
        <v>24.15</v>
      </c>
      <c r="L928">
        <v>70198.009999999995</v>
      </c>
      <c r="M928">
        <v>47586.400000000001</v>
      </c>
      <c r="N928">
        <v>18.399999999999999</v>
      </c>
      <c r="O928">
        <v>5.2639999999999999E-2</v>
      </c>
      <c r="P928">
        <v>2.899</v>
      </c>
      <c r="Q928">
        <v>108.02</v>
      </c>
      <c r="R928">
        <v>51.112000000000002</v>
      </c>
      <c r="S928">
        <v>131.15</v>
      </c>
    </row>
    <row r="929" spans="1:19" x14ac:dyDescent="0.3">
      <c r="A929" s="2">
        <v>45222</v>
      </c>
      <c r="B929">
        <v>94.45</v>
      </c>
      <c r="C929">
        <v>113.71</v>
      </c>
      <c r="D929">
        <v>128.44</v>
      </c>
      <c r="E929">
        <v>134.72999999999999</v>
      </c>
      <c r="F929">
        <v>124.55</v>
      </c>
      <c r="G929">
        <v>85.49</v>
      </c>
      <c r="H929">
        <v>89.83</v>
      </c>
      <c r="I929">
        <v>90.07</v>
      </c>
      <c r="J929">
        <v>109.45</v>
      </c>
      <c r="K929">
        <v>21.274702495201531</v>
      </c>
      <c r="L929">
        <v>70100.28</v>
      </c>
      <c r="M929">
        <v>45518.11</v>
      </c>
      <c r="N929">
        <v>18.585000000000001</v>
      </c>
      <c r="O929">
        <v>5.2720000000000003E-2</v>
      </c>
      <c r="P929">
        <v>2.9260000000000002</v>
      </c>
      <c r="Q929">
        <v>107.71</v>
      </c>
      <c r="R929">
        <v>51.274999999999999</v>
      </c>
      <c r="S929">
        <v>126.3</v>
      </c>
    </row>
    <row r="930" spans="1:19" x14ac:dyDescent="0.3">
      <c r="A930" s="2">
        <v>45223</v>
      </c>
      <c r="B930">
        <v>94.45</v>
      </c>
      <c r="C930">
        <v>113.71</v>
      </c>
      <c r="D930">
        <v>128.44</v>
      </c>
      <c r="E930">
        <v>134.72999999999999</v>
      </c>
      <c r="F930">
        <v>124.55</v>
      </c>
      <c r="G930">
        <v>83.74</v>
      </c>
      <c r="H930">
        <v>88.07</v>
      </c>
      <c r="I930">
        <v>89.54</v>
      </c>
      <c r="J930">
        <v>108.39</v>
      </c>
      <c r="K930">
        <v>24.15</v>
      </c>
      <c r="L930">
        <v>70578.25</v>
      </c>
      <c r="M930">
        <v>44584.84</v>
      </c>
      <c r="N930">
        <v>17.84</v>
      </c>
      <c r="O930">
        <v>5.246E-2</v>
      </c>
      <c r="P930">
        <v>2.9710000000000001</v>
      </c>
      <c r="Q930">
        <v>106.93</v>
      </c>
      <c r="R930">
        <v>49.265000000000001</v>
      </c>
      <c r="S930">
        <v>141.61602674307539</v>
      </c>
    </row>
    <row r="931" spans="1:19" x14ac:dyDescent="0.3">
      <c r="A931" s="2">
        <v>45224</v>
      </c>
      <c r="B931">
        <v>94.45</v>
      </c>
      <c r="C931">
        <v>113.71</v>
      </c>
      <c r="D931">
        <v>128.44</v>
      </c>
      <c r="E931">
        <v>134.72999999999999</v>
      </c>
      <c r="F931">
        <v>124.55</v>
      </c>
      <c r="G931">
        <v>85.39</v>
      </c>
      <c r="H931">
        <v>90.13</v>
      </c>
      <c r="I931">
        <v>90.02</v>
      </c>
      <c r="J931">
        <v>108.59</v>
      </c>
      <c r="K931">
        <v>24.1</v>
      </c>
      <c r="L931">
        <v>70274.34</v>
      </c>
      <c r="M931">
        <v>44392.56</v>
      </c>
      <c r="N931">
        <v>17.954999999999998</v>
      </c>
      <c r="O931">
        <v>5.2269999999999997E-2</v>
      </c>
      <c r="P931">
        <v>3.01</v>
      </c>
      <c r="Q931">
        <v>106.73</v>
      </c>
      <c r="R931">
        <v>49.924999999999997</v>
      </c>
      <c r="S931">
        <v>124.45</v>
      </c>
    </row>
    <row r="932" spans="1:19" x14ac:dyDescent="0.3">
      <c r="A932" s="2">
        <v>45225</v>
      </c>
      <c r="B932">
        <v>94.45</v>
      </c>
      <c r="C932">
        <v>113.71</v>
      </c>
      <c r="D932">
        <v>128.44</v>
      </c>
      <c r="E932">
        <v>134.72999999999999</v>
      </c>
      <c r="F932">
        <v>124.55</v>
      </c>
      <c r="G932">
        <v>83.21</v>
      </c>
      <c r="H932">
        <v>87.93</v>
      </c>
      <c r="I932">
        <v>89.64</v>
      </c>
      <c r="J932">
        <v>107.6</v>
      </c>
      <c r="K932">
        <v>24.15</v>
      </c>
      <c r="L932">
        <v>69930.52</v>
      </c>
      <c r="M932">
        <v>44802.67</v>
      </c>
      <c r="N932">
        <v>17.91</v>
      </c>
      <c r="O932">
        <v>5.2720000000000003E-2</v>
      </c>
      <c r="P932">
        <v>3.214</v>
      </c>
      <c r="Q932">
        <v>107.29</v>
      </c>
      <c r="R932">
        <v>50.81</v>
      </c>
      <c r="S932">
        <v>123.45</v>
      </c>
    </row>
    <row r="933" spans="1:19" x14ac:dyDescent="0.3">
      <c r="A933" s="2">
        <v>45226</v>
      </c>
      <c r="B933">
        <v>88.64</v>
      </c>
      <c r="C933">
        <v>107.51</v>
      </c>
      <c r="D933">
        <v>121.68</v>
      </c>
      <c r="E933">
        <v>126.8</v>
      </c>
      <c r="F933">
        <v>121.91</v>
      </c>
      <c r="G933">
        <v>85.54</v>
      </c>
      <c r="H933">
        <v>90.48</v>
      </c>
      <c r="I933">
        <v>89.88</v>
      </c>
      <c r="J933">
        <v>105.55</v>
      </c>
      <c r="K933">
        <v>24.4</v>
      </c>
      <c r="L933">
        <v>69451.97</v>
      </c>
      <c r="M933">
        <v>44317.71</v>
      </c>
      <c r="N933">
        <v>17.895</v>
      </c>
      <c r="O933">
        <v>5.296E-2</v>
      </c>
      <c r="P933">
        <v>3.1640000000000001</v>
      </c>
      <c r="Q933">
        <v>104.72</v>
      </c>
      <c r="R933">
        <v>50.53</v>
      </c>
      <c r="S933">
        <v>124.95</v>
      </c>
    </row>
    <row r="934" spans="1:19" x14ac:dyDescent="0.3">
      <c r="A934" s="2">
        <v>45229</v>
      </c>
      <c r="B934">
        <v>88.64</v>
      </c>
      <c r="C934">
        <v>107.51</v>
      </c>
      <c r="D934">
        <v>121.68</v>
      </c>
      <c r="E934">
        <v>126.8</v>
      </c>
      <c r="F934">
        <v>121.91</v>
      </c>
      <c r="G934">
        <v>82.31</v>
      </c>
      <c r="H934">
        <v>87.45</v>
      </c>
      <c r="I934">
        <v>89.68</v>
      </c>
      <c r="J934">
        <v>105.88</v>
      </c>
      <c r="K934">
        <v>24.05</v>
      </c>
      <c r="L934">
        <v>69871.16</v>
      </c>
      <c r="M934">
        <v>44623.19</v>
      </c>
      <c r="N934">
        <v>17.91</v>
      </c>
      <c r="O934">
        <v>5.2979999999999999E-2</v>
      </c>
      <c r="P934">
        <v>3.3519999999999999</v>
      </c>
      <c r="Q934">
        <v>106.03</v>
      </c>
      <c r="R934">
        <v>50.546999999999997</v>
      </c>
      <c r="S934">
        <v>125.3</v>
      </c>
    </row>
    <row r="935" spans="1:19" x14ac:dyDescent="0.3">
      <c r="A935" s="2">
        <v>45230</v>
      </c>
      <c r="B935">
        <v>88.64</v>
      </c>
      <c r="C935">
        <v>107.51</v>
      </c>
      <c r="D935">
        <v>121.68</v>
      </c>
      <c r="E935">
        <v>126.8</v>
      </c>
      <c r="F935">
        <v>121.91</v>
      </c>
      <c r="G935">
        <v>81.02</v>
      </c>
      <c r="H935">
        <v>87.41</v>
      </c>
      <c r="I935">
        <v>89.76</v>
      </c>
      <c r="J935">
        <v>105.85</v>
      </c>
      <c r="K935">
        <v>24</v>
      </c>
      <c r="L935">
        <v>69653.440000000002</v>
      </c>
      <c r="M935">
        <v>43674.89</v>
      </c>
      <c r="N935">
        <v>17.72</v>
      </c>
      <c r="O935">
        <v>5.3620000000000001E-2</v>
      </c>
      <c r="P935">
        <v>3.5750000000000002</v>
      </c>
      <c r="Q935">
        <v>107.44</v>
      </c>
      <c r="R935">
        <v>48.005000000000003</v>
      </c>
      <c r="S935">
        <v>125.85</v>
      </c>
    </row>
    <row r="936" spans="1:19" x14ac:dyDescent="0.3">
      <c r="A936" s="2">
        <v>45231</v>
      </c>
      <c r="B936">
        <v>88.64</v>
      </c>
      <c r="C936">
        <v>107.51</v>
      </c>
      <c r="D936">
        <v>121.68</v>
      </c>
      <c r="E936">
        <v>126.8</v>
      </c>
      <c r="F936">
        <v>121.91</v>
      </c>
      <c r="G936">
        <v>80.44</v>
      </c>
      <c r="H936">
        <v>84.63</v>
      </c>
      <c r="I936">
        <v>85.24</v>
      </c>
      <c r="J936">
        <v>105.64</v>
      </c>
      <c r="K936">
        <v>24.05</v>
      </c>
      <c r="L936">
        <v>69740.3</v>
      </c>
      <c r="M936">
        <v>42239.93</v>
      </c>
      <c r="N936">
        <v>17.655000000000001</v>
      </c>
      <c r="O936">
        <v>5.4010000000000002E-2</v>
      </c>
      <c r="P936">
        <v>3.4940000000000002</v>
      </c>
      <c r="Q936">
        <v>108.25</v>
      </c>
      <c r="R936">
        <v>47.755000000000003</v>
      </c>
      <c r="S936">
        <v>124.85</v>
      </c>
    </row>
    <row r="937" spans="1:19" x14ac:dyDescent="0.3">
      <c r="A937" s="2">
        <v>45232</v>
      </c>
      <c r="B937">
        <v>88.64</v>
      </c>
      <c r="C937">
        <v>107.51</v>
      </c>
      <c r="D937">
        <v>121.68</v>
      </c>
      <c r="E937">
        <v>126.8</v>
      </c>
      <c r="F937">
        <v>121.91</v>
      </c>
      <c r="G937">
        <v>82.46</v>
      </c>
      <c r="H937">
        <v>86.85</v>
      </c>
      <c r="I937">
        <v>87.65</v>
      </c>
      <c r="J937">
        <v>109.11</v>
      </c>
      <c r="K937">
        <v>24.2</v>
      </c>
      <c r="L937">
        <v>71383.92</v>
      </c>
      <c r="M937">
        <v>42047</v>
      </c>
      <c r="N937">
        <v>17.645</v>
      </c>
      <c r="O937">
        <v>5.4280000000000002E-2</v>
      </c>
      <c r="P937">
        <v>3.472</v>
      </c>
      <c r="Q937">
        <v>106.26</v>
      </c>
      <c r="R937">
        <v>48.564999999999998</v>
      </c>
      <c r="S937">
        <v>126.65</v>
      </c>
    </row>
    <row r="938" spans="1:19" x14ac:dyDescent="0.3">
      <c r="A938" s="2">
        <v>45233</v>
      </c>
      <c r="B938">
        <v>83.18</v>
      </c>
      <c r="C938">
        <v>101.26</v>
      </c>
      <c r="D938">
        <v>114.85</v>
      </c>
      <c r="E938">
        <v>122.27</v>
      </c>
      <c r="F938">
        <v>117.57</v>
      </c>
      <c r="G938">
        <v>80.510000000000005</v>
      </c>
      <c r="H938">
        <v>84.89</v>
      </c>
      <c r="I938">
        <v>85.93</v>
      </c>
      <c r="J938">
        <v>107.78</v>
      </c>
      <c r="K938">
        <v>24.55</v>
      </c>
      <c r="L938">
        <v>72856.179999999993</v>
      </c>
      <c r="M938">
        <v>44135.63</v>
      </c>
      <c r="N938">
        <v>17.57</v>
      </c>
      <c r="O938">
        <v>5.4699999999999999E-2</v>
      </c>
      <c r="P938">
        <v>3.5150000000000001</v>
      </c>
      <c r="Q938">
        <v>107.91</v>
      </c>
      <c r="R938">
        <v>48.057000000000002</v>
      </c>
      <c r="S938">
        <v>127.6</v>
      </c>
    </row>
    <row r="939" spans="1:19" x14ac:dyDescent="0.3">
      <c r="A939" s="2">
        <v>45236</v>
      </c>
      <c r="B939">
        <v>83.18</v>
      </c>
      <c r="C939">
        <v>101.26</v>
      </c>
      <c r="D939">
        <v>114.85</v>
      </c>
      <c r="E939">
        <v>122.27</v>
      </c>
      <c r="F939">
        <v>117.57</v>
      </c>
      <c r="G939">
        <v>80.819999999999993</v>
      </c>
      <c r="H939">
        <v>85.18</v>
      </c>
      <c r="I939">
        <v>86.32</v>
      </c>
      <c r="J939">
        <v>105.87</v>
      </c>
      <c r="K939">
        <v>23.8</v>
      </c>
      <c r="L939">
        <v>73293.69</v>
      </c>
      <c r="M939">
        <v>45572.88</v>
      </c>
      <c r="N939">
        <v>17.445</v>
      </c>
      <c r="O939">
        <v>5.4609999999999999E-2</v>
      </c>
      <c r="P939">
        <v>3.2639999999999998</v>
      </c>
      <c r="Q939">
        <v>107.79</v>
      </c>
      <c r="R939">
        <v>44.83</v>
      </c>
      <c r="S939">
        <v>133.44999999999999</v>
      </c>
    </row>
    <row r="940" spans="1:19" x14ac:dyDescent="0.3">
      <c r="A940" s="2">
        <v>45237</v>
      </c>
      <c r="B940">
        <v>83.18</v>
      </c>
      <c r="C940">
        <v>101.26</v>
      </c>
      <c r="D940">
        <v>114.85</v>
      </c>
      <c r="E940">
        <v>122.27</v>
      </c>
      <c r="F940">
        <v>117.57</v>
      </c>
      <c r="G940">
        <v>77.37</v>
      </c>
      <c r="H940">
        <v>81.61</v>
      </c>
      <c r="I940">
        <v>83.58</v>
      </c>
      <c r="J940">
        <v>104.21</v>
      </c>
      <c r="K940">
        <v>23.95</v>
      </c>
      <c r="L940">
        <v>71572.990000000005</v>
      </c>
      <c r="M940">
        <v>43346.95</v>
      </c>
      <c r="N940">
        <v>17.355</v>
      </c>
      <c r="O940">
        <v>5.45E-2</v>
      </c>
      <c r="P940">
        <v>3.14</v>
      </c>
      <c r="Q940">
        <v>108.22</v>
      </c>
      <c r="R940">
        <v>46.055</v>
      </c>
      <c r="S940">
        <v>133</v>
      </c>
    </row>
    <row r="941" spans="1:19" x14ac:dyDescent="0.3">
      <c r="A941" s="2">
        <v>45238</v>
      </c>
      <c r="B941">
        <v>83.18</v>
      </c>
      <c r="C941">
        <v>101.26</v>
      </c>
      <c r="D941">
        <v>114.85</v>
      </c>
      <c r="E941">
        <v>122.27</v>
      </c>
      <c r="F941">
        <v>117.57</v>
      </c>
      <c r="G941">
        <v>75.33</v>
      </c>
      <c r="H941">
        <v>79.540000000000006</v>
      </c>
      <c r="I941">
        <v>82.2</v>
      </c>
      <c r="J941">
        <v>102.93</v>
      </c>
      <c r="K941">
        <v>23.95</v>
      </c>
      <c r="L941">
        <v>72465.63</v>
      </c>
      <c r="M941">
        <v>44315.58</v>
      </c>
      <c r="N941">
        <v>17.29</v>
      </c>
      <c r="O941">
        <v>5.4129999999999998E-2</v>
      </c>
      <c r="P941">
        <v>3.1059999999999999</v>
      </c>
      <c r="Q941">
        <v>109.17</v>
      </c>
      <c r="R941">
        <v>45.774999999999999</v>
      </c>
      <c r="S941">
        <v>132.4</v>
      </c>
    </row>
    <row r="942" spans="1:19" x14ac:dyDescent="0.3">
      <c r="A942" s="2">
        <v>45239</v>
      </c>
      <c r="B942">
        <v>83.18</v>
      </c>
      <c r="C942">
        <v>101.26</v>
      </c>
      <c r="D942">
        <v>114.85</v>
      </c>
      <c r="E942">
        <v>122.27</v>
      </c>
      <c r="F942">
        <v>117.57</v>
      </c>
      <c r="G942">
        <v>75.739999999999995</v>
      </c>
      <c r="H942">
        <v>80.010000000000005</v>
      </c>
      <c r="I942">
        <v>82.44</v>
      </c>
      <c r="J942">
        <v>102.96</v>
      </c>
      <c r="K942">
        <v>24.25</v>
      </c>
      <c r="L942">
        <v>72226.67</v>
      </c>
      <c r="M942">
        <v>43110.19</v>
      </c>
      <c r="N942">
        <v>17.254999999999999</v>
      </c>
      <c r="O942">
        <v>5.355E-2</v>
      </c>
      <c r="P942">
        <v>3.0409999999999999</v>
      </c>
      <c r="Q942">
        <v>108.55</v>
      </c>
      <c r="R942">
        <v>48.13</v>
      </c>
      <c r="S942">
        <v>131.15</v>
      </c>
    </row>
    <row r="943" spans="1:19" x14ac:dyDescent="0.3">
      <c r="A943" s="2">
        <v>45240</v>
      </c>
      <c r="B943">
        <v>77.81</v>
      </c>
      <c r="C943">
        <v>94.6</v>
      </c>
      <c r="D943">
        <v>108.43</v>
      </c>
      <c r="E943">
        <v>116.69</v>
      </c>
      <c r="F943">
        <v>114.04</v>
      </c>
      <c r="G943">
        <v>77.17</v>
      </c>
      <c r="H943">
        <v>81.430000000000007</v>
      </c>
      <c r="I943">
        <v>83.35</v>
      </c>
      <c r="J943">
        <v>103.75</v>
      </c>
      <c r="K943">
        <v>24.4</v>
      </c>
      <c r="L943">
        <v>71393.3</v>
      </c>
      <c r="M943">
        <v>40859.550000000003</v>
      </c>
      <c r="N943">
        <v>17.184999999999999</v>
      </c>
      <c r="O943">
        <v>5.339E-2</v>
      </c>
      <c r="P943">
        <v>3.0329999999999999</v>
      </c>
      <c r="Q943">
        <v>109.78</v>
      </c>
      <c r="R943">
        <v>46.63</v>
      </c>
      <c r="S943">
        <v>131.44999999999999</v>
      </c>
    </row>
    <row r="944" spans="1:19" x14ac:dyDescent="0.3">
      <c r="A944" s="2">
        <v>45243</v>
      </c>
      <c r="B944">
        <v>77.81</v>
      </c>
      <c r="C944">
        <v>94.6</v>
      </c>
      <c r="D944">
        <v>108.43</v>
      </c>
      <c r="E944">
        <v>116.69</v>
      </c>
      <c r="F944">
        <v>114.04</v>
      </c>
      <c r="G944">
        <v>78.260000000000005</v>
      </c>
      <c r="H944">
        <v>82.52</v>
      </c>
      <c r="I944">
        <v>83.86</v>
      </c>
      <c r="J944">
        <v>104.84</v>
      </c>
      <c r="K944">
        <v>24.4</v>
      </c>
      <c r="L944">
        <v>71633.17</v>
      </c>
      <c r="M944">
        <v>41141.660000000003</v>
      </c>
      <c r="N944">
        <v>17.2</v>
      </c>
      <c r="O944">
        <v>5.339E-2</v>
      </c>
      <c r="P944">
        <v>3.1970000000000001</v>
      </c>
      <c r="Q944">
        <v>108.66</v>
      </c>
      <c r="R944">
        <v>47.875</v>
      </c>
      <c r="S944">
        <v>132.5</v>
      </c>
    </row>
    <row r="945" spans="1:19" x14ac:dyDescent="0.3">
      <c r="A945" s="2">
        <v>45244</v>
      </c>
      <c r="B945">
        <v>77.81</v>
      </c>
      <c r="C945">
        <v>94.6</v>
      </c>
      <c r="D945">
        <v>108.43</v>
      </c>
      <c r="E945">
        <v>116.69</v>
      </c>
      <c r="F945">
        <v>114.04</v>
      </c>
      <c r="G945">
        <v>78.260000000000005</v>
      </c>
      <c r="H945">
        <v>82.47</v>
      </c>
      <c r="I945">
        <v>83.82</v>
      </c>
      <c r="J945">
        <v>104.29</v>
      </c>
      <c r="K945">
        <v>24.2</v>
      </c>
      <c r="L945">
        <v>73443.5</v>
      </c>
      <c r="M945">
        <v>42939.72</v>
      </c>
      <c r="N945">
        <v>17.125</v>
      </c>
      <c r="O945">
        <v>5.4850000000000003E-2</v>
      </c>
      <c r="P945">
        <v>3.1059999999999999</v>
      </c>
      <c r="Q945">
        <v>110.45</v>
      </c>
      <c r="R945">
        <v>47.61</v>
      </c>
      <c r="S945">
        <v>141.61602674307539</v>
      </c>
    </row>
    <row r="946" spans="1:19" x14ac:dyDescent="0.3">
      <c r="A946" s="2">
        <v>45245</v>
      </c>
      <c r="B946">
        <v>77.81</v>
      </c>
      <c r="C946">
        <v>94.6</v>
      </c>
      <c r="D946">
        <v>108.43</v>
      </c>
      <c r="E946">
        <v>116.69</v>
      </c>
      <c r="F946">
        <v>114.04</v>
      </c>
      <c r="G946">
        <v>76.66</v>
      </c>
      <c r="H946">
        <v>81.180000000000007</v>
      </c>
      <c r="I946">
        <v>83.21</v>
      </c>
      <c r="J946">
        <v>103.66</v>
      </c>
      <c r="K946">
        <v>24.85</v>
      </c>
      <c r="L946">
        <v>74800.289999999994</v>
      </c>
      <c r="M946">
        <v>43188.54</v>
      </c>
      <c r="N946">
        <v>17.102</v>
      </c>
      <c r="O946">
        <v>5.4960000000000002E-2</v>
      </c>
      <c r="P946">
        <v>3.3620000000000001</v>
      </c>
      <c r="Q946">
        <v>111.05</v>
      </c>
      <c r="R946">
        <v>47.034999999999997</v>
      </c>
      <c r="S946">
        <v>135.5</v>
      </c>
    </row>
    <row r="947" spans="1:19" x14ac:dyDescent="0.3">
      <c r="A947" s="2">
        <v>45246</v>
      </c>
      <c r="B947">
        <v>77.81</v>
      </c>
      <c r="C947">
        <v>94.6</v>
      </c>
      <c r="D947">
        <v>108.43</v>
      </c>
      <c r="E947">
        <v>116.69</v>
      </c>
      <c r="F947">
        <v>114.04</v>
      </c>
      <c r="G947">
        <v>72.900000000000006</v>
      </c>
      <c r="H947">
        <v>77.42</v>
      </c>
      <c r="I947">
        <v>81.510000000000005</v>
      </c>
      <c r="J947">
        <v>102.46</v>
      </c>
      <c r="K947">
        <v>25.2</v>
      </c>
      <c r="L947">
        <v>73736.61</v>
      </c>
      <c r="M947">
        <v>43631.13</v>
      </c>
      <c r="N947">
        <v>17.100000000000001</v>
      </c>
      <c r="O947">
        <v>5.4440000000000002E-2</v>
      </c>
      <c r="P947">
        <v>3.2389999999999999</v>
      </c>
      <c r="Q947">
        <v>112.27</v>
      </c>
      <c r="R947">
        <v>45.85</v>
      </c>
      <c r="S947">
        <v>136.1</v>
      </c>
    </row>
    <row r="948" spans="1:19" x14ac:dyDescent="0.3">
      <c r="A948" s="2">
        <v>45247</v>
      </c>
      <c r="B948">
        <v>74.8</v>
      </c>
      <c r="C948">
        <v>91.56</v>
      </c>
      <c r="D948">
        <v>104.62</v>
      </c>
      <c r="E948">
        <v>110.41</v>
      </c>
      <c r="F948">
        <v>113.29</v>
      </c>
      <c r="G948">
        <v>75.89</v>
      </c>
      <c r="H948">
        <v>80.61</v>
      </c>
      <c r="I948">
        <v>83.08</v>
      </c>
      <c r="J948">
        <v>104.96</v>
      </c>
      <c r="K948">
        <v>24.85</v>
      </c>
      <c r="L948">
        <v>73920.75</v>
      </c>
      <c r="M948">
        <v>43351.83</v>
      </c>
      <c r="N948">
        <v>16.975000000000001</v>
      </c>
      <c r="O948">
        <v>5.4399999999999997E-2</v>
      </c>
      <c r="P948">
        <v>3.1309999999999998</v>
      </c>
      <c r="Q948">
        <v>111.4</v>
      </c>
      <c r="R948">
        <v>45.064</v>
      </c>
      <c r="S948">
        <v>138.05000000000001</v>
      </c>
    </row>
    <row r="949" spans="1:19" x14ac:dyDescent="0.3">
      <c r="A949" s="2">
        <v>45250</v>
      </c>
      <c r="B949">
        <v>74.8</v>
      </c>
      <c r="C949">
        <v>91.56</v>
      </c>
      <c r="D949">
        <v>104.62</v>
      </c>
      <c r="E949">
        <v>110.41</v>
      </c>
      <c r="F949">
        <v>113.29</v>
      </c>
      <c r="G949">
        <v>77.599999999999994</v>
      </c>
      <c r="H949">
        <v>82.32</v>
      </c>
      <c r="I949">
        <v>83.78</v>
      </c>
      <c r="J949">
        <v>104.5</v>
      </c>
      <c r="K949">
        <v>25.35</v>
      </c>
      <c r="L949">
        <v>74321.48</v>
      </c>
      <c r="M949">
        <v>43228.18</v>
      </c>
      <c r="N949">
        <v>17.125</v>
      </c>
      <c r="O949">
        <v>5.45E-2</v>
      </c>
      <c r="P949">
        <v>2.8820000000000001</v>
      </c>
      <c r="Q949">
        <v>112.15</v>
      </c>
      <c r="R949">
        <v>45.82</v>
      </c>
      <c r="S949">
        <v>138</v>
      </c>
    </row>
    <row r="950" spans="1:19" x14ac:dyDescent="0.3">
      <c r="A950" s="2">
        <v>45251</v>
      </c>
      <c r="B950">
        <v>74.8</v>
      </c>
      <c r="C950">
        <v>91.56</v>
      </c>
      <c r="D950">
        <v>104.62</v>
      </c>
      <c r="E950">
        <v>110.41</v>
      </c>
      <c r="F950">
        <v>113.29</v>
      </c>
      <c r="G950">
        <v>77.77</v>
      </c>
      <c r="H950">
        <v>82.45</v>
      </c>
      <c r="I950">
        <v>83.92</v>
      </c>
      <c r="J950">
        <v>104.46</v>
      </c>
      <c r="K950">
        <v>25.1</v>
      </c>
      <c r="L950">
        <v>74270.740000000005</v>
      </c>
      <c r="M950">
        <v>42913.87</v>
      </c>
      <c r="N950">
        <v>16.465</v>
      </c>
      <c r="O950">
        <v>5.3650000000000003E-2</v>
      </c>
      <c r="P950">
        <v>2.8460000000000001</v>
      </c>
      <c r="Q950">
        <v>113.45</v>
      </c>
      <c r="R950">
        <v>44.064999999999998</v>
      </c>
      <c r="S950">
        <v>141.85</v>
      </c>
    </row>
    <row r="951" spans="1:19" x14ac:dyDescent="0.3">
      <c r="A951" s="2">
        <v>45252</v>
      </c>
      <c r="B951">
        <v>74.8</v>
      </c>
      <c r="C951">
        <v>91.56</v>
      </c>
      <c r="D951">
        <v>104.62</v>
      </c>
      <c r="E951">
        <v>110.41</v>
      </c>
      <c r="F951">
        <v>113.29</v>
      </c>
      <c r="G951">
        <v>77.099999999999994</v>
      </c>
      <c r="H951">
        <v>81.96</v>
      </c>
      <c r="I951">
        <v>83.76</v>
      </c>
      <c r="J951">
        <v>104.01</v>
      </c>
      <c r="K951">
        <v>25.2</v>
      </c>
      <c r="L951">
        <v>74763.960000000006</v>
      </c>
      <c r="M951">
        <v>44177.88</v>
      </c>
      <c r="N951">
        <v>16.489999999999998</v>
      </c>
      <c r="O951">
        <v>5.2949999999999997E-2</v>
      </c>
      <c r="P951">
        <v>2.8969999999999998</v>
      </c>
      <c r="Q951">
        <v>114.32</v>
      </c>
      <c r="R951">
        <v>44.615000000000002</v>
      </c>
      <c r="S951">
        <v>143.6</v>
      </c>
    </row>
    <row r="952" spans="1:19" x14ac:dyDescent="0.3">
      <c r="A952" s="2">
        <v>45253</v>
      </c>
      <c r="B952">
        <v>74.8</v>
      </c>
      <c r="C952">
        <v>91.56</v>
      </c>
      <c r="D952">
        <v>104.62</v>
      </c>
      <c r="E952">
        <v>110.41</v>
      </c>
      <c r="F952">
        <v>113.29</v>
      </c>
      <c r="G952">
        <v>76.34</v>
      </c>
      <c r="H952">
        <v>81.42</v>
      </c>
      <c r="I952">
        <v>74.752492970946577</v>
      </c>
      <c r="J952">
        <v>80.871012183692585</v>
      </c>
      <c r="K952">
        <v>25.55</v>
      </c>
      <c r="L952">
        <v>75438.710000000006</v>
      </c>
      <c r="M952">
        <v>43696.55</v>
      </c>
      <c r="N952">
        <v>17.62252908067542</v>
      </c>
      <c r="O952">
        <v>5.3129999999999997E-2</v>
      </c>
      <c r="P952">
        <v>2.93</v>
      </c>
      <c r="Q952">
        <v>112.7561105904405</v>
      </c>
      <c r="R952">
        <v>46.58</v>
      </c>
      <c r="S952">
        <v>145.1</v>
      </c>
    </row>
    <row r="953" spans="1:19" x14ac:dyDescent="0.3">
      <c r="A953" s="2">
        <v>45254</v>
      </c>
      <c r="B953">
        <v>76.819999999999993</v>
      </c>
      <c r="C953">
        <v>94.01</v>
      </c>
      <c r="D953">
        <v>105.44</v>
      </c>
      <c r="E953">
        <v>109.99</v>
      </c>
      <c r="F953">
        <v>111.68</v>
      </c>
      <c r="G953">
        <v>75.540000000000006</v>
      </c>
      <c r="H953">
        <v>80.58</v>
      </c>
      <c r="I953">
        <v>83.4</v>
      </c>
      <c r="J953">
        <v>104.57</v>
      </c>
      <c r="K953">
        <v>25.25</v>
      </c>
      <c r="L953">
        <v>75712.399999999994</v>
      </c>
      <c r="M953">
        <v>44133.26</v>
      </c>
      <c r="N953">
        <v>17.094999999999999</v>
      </c>
      <c r="O953">
        <v>5.3089999999999998E-2</v>
      </c>
      <c r="P953">
        <v>2.855</v>
      </c>
      <c r="Q953">
        <v>114.39</v>
      </c>
      <c r="R953">
        <v>46.655000000000001</v>
      </c>
      <c r="S953">
        <v>142.05000000000001</v>
      </c>
    </row>
    <row r="954" spans="1:19" x14ac:dyDescent="0.3">
      <c r="A954" s="2">
        <v>45257</v>
      </c>
      <c r="B954">
        <v>76.819999999999993</v>
      </c>
      <c r="C954">
        <v>94.01</v>
      </c>
      <c r="D954">
        <v>105.44</v>
      </c>
      <c r="E954">
        <v>109.99</v>
      </c>
      <c r="F954">
        <v>111.68</v>
      </c>
      <c r="G954">
        <v>74.86</v>
      </c>
      <c r="H954">
        <v>79.98</v>
      </c>
      <c r="I954">
        <v>83.32</v>
      </c>
      <c r="J954">
        <v>103.96</v>
      </c>
      <c r="K954">
        <v>25.35</v>
      </c>
      <c r="L954">
        <v>75369.88</v>
      </c>
      <c r="M954">
        <v>45271.519999999997</v>
      </c>
      <c r="N954">
        <v>16.504999999999999</v>
      </c>
      <c r="O954">
        <v>5.3589999999999999E-2</v>
      </c>
      <c r="P954">
        <v>2.794</v>
      </c>
      <c r="Q954">
        <v>113.14</v>
      </c>
      <c r="R954">
        <v>43.984999999999999</v>
      </c>
      <c r="S954">
        <v>141.61602674307539</v>
      </c>
    </row>
    <row r="955" spans="1:19" x14ac:dyDescent="0.3">
      <c r="A955" s="2">
        <v>45258</v>
      </c>
      <c r="B955">
        <v>76.819999999999993</v>
      </c>
      <c r="C955">
        <v>94.01</v>
      </c>
      <c r="D955">
        <v>105.44</v>
      </c>
      <c r="E955">
        <v>109.99</v>
      </c>
      <c r="F955">
        <v>111.68</v>
      </c>
      <c r="G955">
        <v>76.41</v>
      </c>
      <c r="H955">
        <v>81.680000000000007</v>
      </c>
      <c r="I955">
        <v>83.46</v>
      </c>
      <c r="J955">
        <v>103.9</v>
      </c>
      <c r="K955">
        <v>25.05</v>
      </c>
      <c r="L955">
        <v>75589.179999999993</v>
      </c>
      <c r="M955">
        <v>46960.49</v>
      </c>
      <c r="N955">
        <v>16.420000000000002</v>
      </c>
      <c r="O955">
        <v>5.3749999999999999E-2</v>
      </c>
      <c r="P955">
        <v>2.706</v>
      </c>
      <c r="Q955">
        <v>112.78</v>
      </c>
      <c r="R955">
        <v>42.774999999999999</v>
      </c>
      <c r="S955">
        <v>144.44999999999999</v>
      </c>
    </row>
    <row r="956" spans="1:19" x14ac:dyDescent="0.3">
      <c r="A956" s="2">
        <v>45259</v>
      </c>
      <c r="B956">
        <v>76.819999999999993</v>
      </c>
      <c r="C956">
        <v>94.01</v>
      </c>
      <c r="D956">
        <v>105.44</v>
      </c>
      <c r="E956">
        <v>109.99</v>
      </c>
      <c r="F956">
        <v>111.68</v>
      </c>
      <c r="G956">
        <v>77.86</v>
      </c>
      <c r="H956">
        <v>83.1</v>
      </c>
      <c r="I956">
        <v>83.49</v>
      </c>
      <c r="J956">
        <v>102.34</v>
      </c>
      <c r="K956">
        <v>25.3</v>
      </c>
      <c r="L956">
        <v>75241.41</v>
      </c>
      <c r="M956">
        <v>47737.07</v>
      </c>
      <c r="N956">
        <v>16.245000000000001</v>
      </c>
      <c r="O956">
        <v>5.3310000000000003E-2</v>
      </c>
      <c r="P956">
        <v>2.8039999999999998</v>
      </c>
      <c r="Q956">
        <v>112.69</v>
      </c>
      <c r="R956">
        <v>40.36</v>
      </c>
      <c r="S956">
        <v>143.75</v>
      </c>
    </row>
    <row r="957" spans="1:19" x14ac:dyDescent="0.3">
      <c r="A957" s="2">
        <v>45260</v>
      </c>
      <c r="B957">
        <v>76.819999999999993</v>
      </c>
      <c r="C957">
        <v>94.01</v>
      </c>
      <c r="D957">
        <v>105.44</v>
      </c>
      <c r="E957">
        <v>109.99</v>
      </c>
      <c r="F957">
        <v>111.68</v>
      </c>
      <c r="G957">
        <v>75.959999999999994</v>
      </c>
      <c r="H957">
        <v>82.83</v>
      </c>
      <c r="I957">
        <v>83.56</v>
      </c>
      <c r="J957">
        <v>102.74</v>
      </c>
      <c r="K957">
        <v>25.55</v>
      </c>
      <c r="L957">
        <v>75534.36</v>
      </c>
      <c r="M957">
        <v>47965.9</v>
      </c>
      <c r="N957">
        <v>16.135000000000002</v>
      </c>
      <c r="O957">
        <v>5.3019999999999998E-2</v>
      </c>
      <c r="P957">
        <v>2.802</v>
      </c>
      <c r="Q957">
        <v>113.84</v>
      </c>
      <c r="R957">
        <v>42.09</v>
      </c>
      <c r="S957">
        <v>143.85</v>
      </c>
    </row>
    <row r="958" spans="1:19" x14ac:dyDescent="0.3">
      <c r="A958" s="2">
        <v>45261</v>
      </c>
      <c r="B958">
        <v>76.19</v>
      </c>
      <c r="C958">
        <v>93.15</v>
      </c>
      <c r="D958">
        <v>105.08</v>
      </c>
      <c r="E958">
        <v>104.96</v>
      </c>
      <c r="F958">
        <v>110.66</v>
      </c>
      <c r="G958">
        <v>74.069999999999993</v>
      </c>
      <c r="H958">
        <v>78.88</v>
      </c>
      <c r="I958">
        <v>79.44</v>
      </c>
      <c r="J958">
        <v>102.99</v>
      </c>
      <c r="K958">
        <v>25.1</v>
      </c>
      <c r="L958">
        <v>75705.850000000006</v>
      </c>
      <c r="M958">
        <v>48048.82</v>
      </c>
      <c r="N958">
        <v>16.25</v>
      </c>
      <c r="O958">
        <v>5.3600000000000002E-2</v>
      </c>
      <c r="P958">
        <v>2.7730000000000001</v>
      </c>
      <c r="Q958">
        <v>114.24</v>
      </c>
      <c r="R958">
        <v>43.496000000000002</v>
      </c>
      <c r="S958">
        <v>142.69999999999999</v>
      </c>
    </row>
    <row r="959" spans="1:19" x14ac:dyDescent="0.3">
      <c r="A959" s="2">
        <v>45264</v>
      </c>
      <c r="B959">
        <v>76.19</v>
      </c>
      <c r="C959">
        <v>93.15</v>
      </c>
      <c r="D959">
        <v>105.08</v>
      </c>
      <c r="E959">
        <v>104.96</v>
      </c>
      <c r="F959">
        <v>110.66</v>
      </c>
      <c r="G959">
        <v>73.040000000000006</v>
      </c>
      <c r="H959">
        <v>78.03</v>
      </c>
      <c r="I959">
        <v>78.19</v>
      </c>
      <c r="J959">
        <v>102.43</v>
      </c>
      <c r="K959">
        <v>25.6</v>
      </c>
      <c r="L959">
        <v>75941.06</v>
      </c>
      <c r="M959">
        <v>46679.03</v>
      </c>
      <c r="N959">
        <v>16.05</v>
      </c>
      <c r="O959">
        <v>5.3159999999999999E-2</v>
      </c>
      <c r="P959">
        <v>2.6509999999999998</v>
      </c>
      <c r="Q959">
        <v>115.03</v>
      </c>
      <c r="R959">
        <v>40.104999999999997</v>
      </c>
      <c r="S959">
        <v>144.94999999999999</v>
      </c>
    </row>
    <row r="960" spans="1:19" x14ac:dyDescent="0.3">
      <c r="A960" s="2">
        <v>45265</v>
      </c>
      <c r="B960">
        <v>76.19</v>
      </c>
      <c r="C960">
        <v>93.15</v>
      </c>
      <c r="D960">
        <v>105.08</v>
      </c>
      <c r="E960">
        <v>104.96</v>
      </c>
      <c r="F960">
        <v>110.66</v>
      </c>
      <c r="G960">
        <v>72.319999999999993</v>
      </c>
      <c r="H960">
        <v>77.2</v>
      </c>
      <c r="I960">
        <v>77.48</v>
      </c>
      <c r="J960">
        <v>100.44</v>
      </c>
      <c r="K960">
        <v>25.1</v>
      </c>
      <c r="L960">
        <v>75215.490000000005</v>
      </c>
      <c r="M960">
        <v>45817.57</v>
      </c>
      <c r="N960">
        <v>16.059999999999999</v>
      </c>
      <c r="O960">
        <v>5.2729999999999999E-2</v>
      </c>
      <c r="P960">
        <v>2.6669999999999998</v>
      </c>
      <c r="Q960">
        <v>114.08</v>
      </c>
      <c r="R960">
        <v>38.134999999999998</v>
      </c>
      <c r="S960">
        <v>143.85</v>
      </c>
    </row>
    <row r="961" spans="1:19" x14ac:dyDescent="0.3">
      <c r="A961" s="2">
        <v>45266</v>
      </c>
      <c r="B961">
        <v>76.19</v>
      </c>
      <c r="C961">
        <v>93.15</v>
      </c>
      <c r="D961">
        <v>105.08</v>
      </c>
      <c r="E961">
        <v>104.96</v>
      </c>
      <c r="F961">
        <v>110.66</v>
      </c>
      <c r="G961">
        <v>69.38</v>
      </c>
      <c r="H961">
        <v>74.3</v>
      </c>
      <c r="I961">
        <v>75.3</v>
      </c>
      <c r="J961">
        <v>99.11</v>
      </c>
      <c r="K961">
        <v>24.9</v>
      </c>
      <c r="L961">
        <v>75400.62</v>
      </c>
      <c r="M961">
        <v>46027.74</v>
      </c>
      <c r="N961">
        <v>16.004999999999999</v>
      </c>
      <c r="O961">
        <v>5.2729999999999999E-2</v>
      </c>
      <c r="P961">
        <v>2.5169999999999999</v>
      </c>
      <c r="Q961">
        <v>113.08</v>
      </c>
      <c r="R961">
        <v>39.314999999999998</v>
      </c>
      <c r="S961">
        <v>147.75</v>
      </c>
    </row>
    <row r="962" spans="1:19" x14ac:dyDescent="0.3">
      <c r="A962" s="2">
        <v>45267</v>
      </c>
      <c r="B962">
        <v>76.19</v>
      </c>
      <c r="C962">
        <v>93.15</v>
      </c>
      <c r="D962">
        <v>105.08</v>
      </c>
      <c r="E962">
        <v>104.96</v>
      </c>
      <c r="F962">
        <v>110.66</v>
      </c>
      <c r="G962">
        <v>69.34</v>
      </c>
      <c r="H962">
        <v>74.05</v>
      </c>
      <c r="I962">
        <v>75.27</v>
      </c>
      <c r="J962">
        <v>98.42</v>
      </c>
      <c r="K962">
        <v>24.75</v>
      </c>
      <c r="L962">
        <v>74787.039999999994</v>
      </c>
      <c r="M962">
        <v>45693.56</v>
      </c>
      <c r="N962">
        <v>16.05</v>
      </c>
      <c r="O962">
        <v>5.3280000000000001E-2</v>
      </c>
      <c r="P962">
        <v>2.52</v>
      </c>
      <c r="Q962">
        <v>112.53</v>
      </c>
      <c r="R962">
        <v>39.97</v>
      </c>
      <c r="S962">
        <v>157.75</v>
      </c>
    </row>
    <row r="963" spans="1:19" x14ac:dyDescent="0.3">
      <c r="A963" s="2">
        <v>45268</v>
      </c>
      <c r="B963">
        <v>73.959999999999994</v>
      </c>
      <c r="C963">
        <v>89.28</v>
      </c>
      <c r="D963">
        <v>100.27</v>
      </c>
      <c r="E963">
        <v>101.73</v>
      </c>
      <c r="F963">
        <v>108.33</v>
      </c>
      <c r="G963">
        <v>71.23</v>
      </c>
      <c r="H963">
        <v>75.84</v>
      </c>
      <c r="I963">
        <v>76.510000000000005</v>
      </c>
      <c r="J963">
        <v>99.55</v>
      </c>
      <c r="K963">
        <v>24.65</v>
      </c>
      <c r="L963">
        <v>73790.850000000006</v>
      </c>
      <c r="M963">
        <v>45352.02</v>
      </c>
      <c r="N963">
        <v>15.975</v>
      </c>
      <c r="O963">
        <v>5.2729999999999999E-2</v>
      </c>
      <c r="P963">
        <v>2.504</v>
      </c>
      <c r="Q963">
        <v>113.34</v>
      </c>
      <c r="R963">
        <v>38.6</v>
      </c>
      <c r="S963">
        <v>152.69999999999999</v>
      </c>
    </row>
    <row r="964" spans="1:19" x14ac:dyDescent="0.3">
      <c r="A964" s="2">
        <v>45271</v>
      </c>
      <c r="B964">
        <v>73.959999999999994</v>
      </c>
      <c r="C964">
        <v>89.28</v>
      </c>
      <c r="D964">
        <v>100.27</v>
      </c>
      <c r="E964">
        <v>101.73</v>
      </c>
      <c r="F964">
        <v>108.33</v>
      </c>
      <c r="G964">
        <v>71.319999999999993</v>
      </c>
      <c r="H964">
        <v>76.03</v>
      </c>
      <c r="I964">
        <v>76.77</v>
      </c>
      <c r="J964">
        <v>99.62</v>
      </c>
      <c r="K964">
        <v>24.85</v>
      </c>
      <c r="L964">
        <v>73892.3</v>
      </c>
      <c r="M964">
        <v>45537.19</v>
      </c>
      <c r="N964">
        <v>15.744999999999999</v>
      </c>
      <c r="O964">
        <v>5.2409999999999998E-2</v>
      </c>
      <c r="P964">
        <v>2.35</v>
      </c>
      <c r="Q964">
        <v>116.14</v>
      </c>
      <c r="R964">
        <v>36.119999999999997</v>
      </c>
      <c r="S964">
        <v>153.6</v>
      </c>
    </row>
    <row r="965" spans="1:19" x14ac:dyDescent="0.3">
      <c r="A965" s="2">
        <v>45272</v>
      </c>
      <c r="B965">
        <v>73.959999999999994</v>
      </c>
      <c r="C965">
        <v>89.28</v>
      </c>
      <c r="D965">
        <v>100.27</v>
      </c>
      <c r="E965">
        <v>101.73</v>
      </c>
      <c r="F965">
        <v>108.33</v>
      </c>
      <c r="G965">
        <v>68.61</v>
      </c>
      <c r="H965">
        <v>73.239999999999995</v>
      </c>
      <c r="I965">
        <v>74.98</v>
      </c>
      <c r="J965">
        <v>98.05</v>
      </c>
      <c r="K965">
        <v>24.65</v>
      </c>
      <c r="L965">
        <v>72621.84</v>
      </c>
      <c r="M965">
        <v>44573.54</v>
      </c>
      <c r="N965">
        <v>15.615</v>
      </c>
      <c r="O965">
        <v>5.2729999999999999E-2</v>
      </c>
      <c r="P965">
        <v>2.3109999999999999</v>
      </c>
      <c r="Q965">
        <v>117.93</v>
      </c>
      <c r="R965">
        <v>34.704999999999998</v>
      </c>
      <c r="S965">
        <v>151.30000000000001</v>
      </c>
    </row>
    <row r="966" spans="1:19" x14ac:dyDescent="0.3">
      <c r="A966" s="2">
        <v>45273</v>
      </c>
      <c r="B966">
        <v>73.959999999999994</v>
      </c>
      <c r="C966">
        <v>89.28</v>
      </c>
      <c r="D966">
        <v>100.27</v>
      </c>
      <c r="E966">
        <v>101.73</v>
      </c>
      <c r="F966">
        <v>108.33</v>
      </c>
      <c r="G966">
        <v>69.47</v>
      </c>
      <c r="H966">
        <v>74.260000000000005</v>
      </c>
      <c r="I966">
        <v>74.87</v>
      </c>
      <c r="J966">
        <v>98.92</v>
      </c>
      <c r="K966">
        <v>24.55</v>
      </c>
      <c r="L966">
        <v>72640.509999999995</v>
      </c>
      <c r="M966">
        <v>43675.29</v>
      </c>
      <c r="N966">
        <v>15.455</v>
      </c>
      <c r="O966">
        <v>5.3519999999999998E-2</v>
      </c>
      <c r="P966">
        <v>2.335</v>
      </c>
      <c r="Q966">
        <v>121.54</v>
      </c>
      <c r="R966">
        <v>35.81</v>
      </c>
      <c r="S966">
        <v>153.1</v>
      </c>
    </row>
    <row r="967" spans="1:19" x14ac:dyDescent="0.3">
      <c r="A967" s="2">
        <v>45274</v>
      </c>
      <c r="B967">
        <v>73.959999999999994</v>
      </c>
      <c r="C967">
        <v>89.28</v>
      </c>
      <c r="D967">
        <v>100.27</v>
      </c>
      <c r="E967">
        <v>101.73</v>
      </c>
      <c r="F967">
        <v>108.33</v>
      </c>
      <c r="G967">
        <v>71.58</v>
      </c>
      <c r="H967">
        <v>76.61</v>
      </c>
      <c r="I967">
        <v>76.3</v>
      </c>
      <c r="J967">
        <v>101.58</v>
      </c>
      <c r="K967">
        <v>24.45</v>
      </c>
      <c r="L967">
        <v>75289.86</v>
      </c>
      <c r="M967">
        <v>48879.54</v>
      </c>
      <c r="N967">
        <v>15.324999999999999</v>
      </c>
      <c r="O967">
        <v>5.4539999999999998E-2</v>
      </c>
      <c r="P967">
        <v>2.3919999999999999</v>
      </c>
      <c r="Q967">
        <v>123.33</v>
      </c>
      <c r="R967">
        <v>34.85</v>
      </c>
      <c r="S967">
        <v>152.55000000000001</v>
      </c>
    </row>
    <row r="968" spans="1:19" x14ac:dyDescent="0.3">
      <c r="A968" s="2">
        <v>45275</v>
      </c>
      <c r="B968">
        <v>70.8</v>
      </c>
      <c r="C968">
        <v>86.89</v>
      </c>
      <c r="D968">
        <v>98.24</v>
      </c>
      <c r="E968">
        <v>99.81</v>
      </c>
      <c r="F968">
        <v>104.07</v>
      </c>
      <c r="G968">
        <v>71.430000000000007</v>
      </c>
      <c r="H968">
        <v>76.55</v>
      </c>
      <c r="I968">
        <v>76.34</v>
      </c>
      <c r="J968">
        <v>100.9</v>
      </c>
      <c r="K968">
        <v>24.9</v>
      </c>
      <c r="L968">
        <v>68736.904810964072</v>
      </c>
      <c r="M968">
        <v>52972.178374291107</v>
      </c>
      <c r="N968">
        <v>15.196999999999999</v>
      </c>
      <c r="O968">
        <v>5.4469999999999998E-2</v>
      </c>
      <c r="P968">
        <v>2.4910000000000001</v>
      </c>
      <c r="Q968">
        <v>123.1</v>
      </c>
      <c r="R968">
        <v>33.19</v>
      </c>
      <c r="S968">
        <v>151</v>
      </c>
    </row>
    <row r="969" spans="1:19" x14ac:dyDescent="0.3">
      <c r="A969" s="2">
        <v>45278</v>
      </c>
      <c r="B969">
        <v>70.8</v>
      </c>
      <c r="C969">
        <v>86.89</v>
      </c>
      <c r="D969">
        <v>98.24</v>
      </c>
      <c r="E969">
        <v>99.81</v>
      </c>
      <c r="F969">
        <v>104.07</v>
      </c>
      <c r="G969">
        <v>72.47</v>
      </c>
      <c r="H969">
        <v>77.95</v>
      </c>
      <c r="I969">
        <v>76.72</v>
      </c>
      <c r="J969">
        <v>101.65</v>
      </c>
      <c r="K969">
        <v>25.25</v>
      </c>
      <c r="L969">
        <v>74301.59</v>
      </c>
      <c r="M969">
        <v>48948.42</v>
      </c>
      <c r="N969">
        <v>12.395</v>
      </c>
      <c r="O969">
        <v>5.3789999999999998E-2</v>
      </c>
      <c r="P969">
        <v>2.5030000000000001</v>
      </c>
      <c r="Q969">
        <v>123.56</v>
      </c>
      <c r="R969">
        <v>35.520000000000003</v>
      </c>
      <c r="S969">
        <v>153.1</v>
      </c>
    </row>
    <row r="970" spans="1:19" x14ac:dyDescent="0.3">
      <c r="A970" s="2">
        <v>45279</v>
      </c>
      <c r="B970">
        <v>70.8</v>
      </c>
      <c r="C970">
        <v>86.89</v>
      </c>
      <c r="D970">
        <v>98.24</v>
      </c>
      <c r="E970">
        <v>99.81</v>
      </c>
      <c r="F970">
        <v>104.07</v>
      </c>
      <c r="G970">
        <v>73.44</v>
      </c>
      <c r="H970">
        <v>79.23</v>
      </c>
      <c r="I970">
        <v>77.19</v>
      </c>
      <c r="J970">
        <v>102.99</v>
      </c>
      <c r="K970">
        <v>25.1</v>
      </c>
      <c r="L970">
        <v>74842.59</v>
      </c>
      <c r="M970">
        <v>50602.19</v>
      </c>
      <c r="N970">
        <v>11.775</v>
      </c>
      <c r="O970">
        <v>5.4550000000000001E-2</v>
      </c>
      <c r="P970">
        <v>2.492</v>
      </c>
      <c r="Q970">
        <v>123.77</v>
      </c>
      <c r="R970">
        <v>32.57</v>
      </c>
      <c r="S970">
        <v>154.19999999999999</v>
      </c>
    </row>
    <row r="971" spans="1:19" x14ac:dyDescent="0.3">
      <c r="A971" s="2">
        <v>45280</v>
      </c>
      <c r="B971">
        <v>70.8</v>
      </c>
      <c r="C971">
        <v>86.89</v>
      </c>
      <c r="D971">
        <v>98.24</v>
      </c>
      <c r="E971">
        <v>99.81</v>
      </c>
      <c r="F971">
        <v>104.07</v>
      </c>
      <c r="G971">
        <v>74.22</v>
      </c>
      <c r="H971">
        <v>79.7</v>
      </c>
      <c r="I971">
        <v>77.36</v>
      </c>
      <c r="J971">
        <v>101.27</v>
      </c>
      <c r="K971">
        <v>25.3</v>
      </c>
      <c r="L971">
        <v>74893.5</v>
      </c>
      <c r="M971">
        <v>50094.9</v>
      </c>
      <c r="N971">
        <v>11.81</v>
      </c>
      <c r="O971">
        <v>5.4519999999999999E-2</v>
      </c>
      <c r="P971">
        <v>2.4470000000000001</v>
      </c>
      <c r="Q971">
        <v>122.36</v>
      </c>
      <c r="R971">
        <v>33.520000000000003</v>
      </c>
      <c r="S971">
        <v>143.94999999999999</v>
      </c>
    </row>
    <row r="972" spans="1:19" x14ac:dyDescent="0.3">
      <c r="A972" s="2">
        <v>45281</v>
      </c>
      <c r="B972">
        <v>70.8</v>
      </c>
      <c r="C972">
        <v>86.89</v>
      </c>
      <c r="D972">
        <v>98.24</v>
      </c>
      <c r="E972">
        <v>99.81</v>
      </c>
      <c r="F972">
        <v>104.07</v>
      </c>
      <c r="G972">
        <v>73.89</v>
      </c>
      <c r="H972">
        <v>79.39</v>
      </c>
      <c r="I972">
        <v>77.27</v>
      </c>
      <c r="J972">
        <v>101.73</v>
      </c>
      <c r="K972">
        <v>25.35</v>
      </c>
      <c r="L972">
        <v>75412.929999999993</v>
      </c>
      <c r="M972">
        <v>50664.75</v>
      </c>
      <c r="N972">
        <v>11.935</v>
      </c>
      <c r="O972">
        <v>5.4460000000000001E-2</v>
      </c>
      <c r="P972">
        <v>2.5720000000000001</v>
      </c>
      <c r="Q972">
        <v>124.23</v>
      </c>
      <c r="R972">
        <v>34.204999999999998</v>
      </c>
      <c r="S972">
        <v>147.1</v>
      </c>
    </row>
    <row r="973" spans="1:19" x14ac:dyDescent="0.3">
      <c r="A973" s="2">
        <v>45282</v>
      </c>
      <c r="B973">
        <v>70.349999999999994</v>
      </c>
      <c r="C973">
        <v>86.36</v>
      </c>
      <c r="D973">
        <v>97.18</v>
      </c>
      <c r="E973">
        <v>97.99</v>
      </c>
      <c r="F973">
        <v>103.44</v>
      </c>
      <c r="G973">
        <v>73.56</v>
      </c>
      <c r="H973">
        <v>79.069999999999993</v>
      </c>
      <c r="I973">
        <v>77.290000000000006</v>
      </c>
      <c r="J973">
        <v>101.91</v>
      </c>
      <c r="K973">
        <v>25.95</v>
      </c>
      <c r="L973">
        <v>74379.570000000007</v>
      </c>
      <c r="M973">
        <v>50734.39</v>
      </c>
      <c r="N973">
        <v>11.945</v>
      </c>
      <c r="O973">
        <v>5.4179999999999999E-2</v>
      </c>
      <c r="P973">
        <v>2.61</v>
      </c>
      <c r="Q973">
        <v>125.72</v>
      </c>
      <c r="R973">
        <v>34.173999999999999</v>
      </c>
      <c r="S973">
        <v>152.55000000000001</v>
      </c>
    </row>
    <row r="974" spans="1:19" x14ac:dyDescent="0.3">
      <c r="A974" s="2">
        <v>45285</v>
      </c>
      <c r="B974">
        <v>87.953183520599239</v>
      </c>
      <c r="C974">
        <v>113.3531554307116</v>
      </c>
      <c r="D974">
        <v>134.97180711610491</v>
      </c>
      <c r="E974">
        <v>144.35149446494461</v>
      </c>
      <c r="F974">
        <v>123.75970973782771</v>
      </c>
      <c r="G974">
        <v>73.790000000000006</v>
      </c>
      <c r="H974">
        <v>76.283020072992699</v>
      </c>
      <c r="I974">
        <v>74.752492970946577</v>
      </c>
      <c r="J974">
        <v>80.871012183692585</v>
      </c>
      <c r="K974">
        <v>21.274702495201531</v>
      </c>
      <c r="L974">
        <v>68736.904810964072</v>
      </c>
      <c r="M974">
        <v>52972.178374291107</v>
      </c>
      <c r="N974">
        <v>17.62252908067542</v>
      </c>
      <c r="O974">
        <v>5.4260000000000003E-2</v>
      </c>
      <c r="P974">
        <v>2.4180000000000001</v>
      </c>
      <c r="Q974">
        <v>112.7561105904405</v>
      </c>
      <c r="R974">
        <v>57.384855947955387</v>
      </c>
      <c r="S974">
        <v>141.61602674307539</v>
      </c>
    </row>
    <row r="975" spans="1:19" x14ac:dyDescent="0.3">
      <c r="A975" s="2">
        <v>45286</v>
      </c>
      <c r="B975">
        <v>87.953183520599239</v>
      </c>
      <c r="C975">
        <v>113.3531554307116</v>
      </c>
      <c r="D975">
        <v>134.97180711610491</v>
      </c>
      <c r="E975">
        <v>97.99</v>
      </c>
      <c r="F975">
        <v>123.75970973782771</v>
      </c>
      <c r="G975">
        <v>75.569999999999993</v>
      </c>
      <c r="H975">
        <v>81.069999999999993</v>
      </c>
      <c r="I975">
        <v>77.59</v>
      </c>
      <c r="J975">
        <v>102.14</v>
      </c>
      <c r="K975">
        <v>21.274702495201531</v>
      </c>
      <c r="L975">
        <v>68736.904810964072</v>
      </c>
      <c r="M975">
        <v>52972.178374291107</v>
      </c>
      <c r="N975">
        <v>11.945</v>
      </c>
      <c r="O975">
        <v>5.364E-2</v>
      </c>
      <c r="P975">
        <v>2.5499999999999998</v>
      </c>
      <c r="Q975">
        <v>126.65</v>
      </c>
      <c r="R975">
        <v>34.174999999999997</v>
      </c>
      <c r="S975">
        <v>156.4</v>
      </c>
    </row>
    <row r="976" spans="1:19" x14ac:dyDescent="0.3">
      <c r="A976" s="2">
        <v>45287</v>
      </c>
      <c r="B976">
        <v>70.349999999999994</v>
      </c>
      <c r="C976">
        <v>86.36</v>
      </c>
      <c r="D976">
        <v>97.18</v>
      </c>
      <c r="E976">
        <v>97.99</v>
      </c>
      <c r="F976">
        <v>103.44</v>
      </c>
      <c r="G976">
        <v>74.11</v>
      </c>
      <c r="H976">
        <v>79.650000000000006</v>
      </c>
      <c r="I976">
        <v>77.39</v>
      </c>
      <c r="J976">
        <v>101.66</v>
      </c>
      <c r="K976">
        <v>26.3</v>
      </c>
      <c r="L976">
        <v>76657.94</v>
      </c>
      <c r="M976">
        <v>52207.55</v>
      </c>
      <c r="N976">
        <v>11.87</v>
      </c>
      <c r="O976">
        <v>5.4370000000000002E-2</v>
      </c>
      <c r="P976">
        <v>2.6190000000000002</v>
      </c>
      <c r="Q976">
        <v>127.79</v>
      </c>
      <c r="R976">
        <v>35.515000000000001</v>
      </c>
      <c r="S976">
        <v>154.75</v>
      </c>
    </row>
    <row r="977" spans="1:19" x14ac:dyDescent="0.3">
      <c r="A977" s="2">
        <v>45288</v>
      </c>
      <c r="B977">
        <v>70.349999999999994</v>
      </c>
      <c r="C977">
        <v>86.36</v>
      </c>
      <c r="D977">
        <v>97.18</v>
      </c>
      <c r="E977">
        <v>97.99</v>
      </c>
      <c r="F977">
        <v>103.44</v>
      </c>
      <c r="G977">
        <v>71.77</v>
      </c>
      <c r="H977">
        <v>78.39</v>
      </c>
      <c r="I977">
        <v>77.290000000000006</v>
      </c>
      <c r="J977">
        <v>100.19</v>
      </c>
      <c r="K977">
        <v>26.35</v>
      </c>
      <c r="L977">
        <v>76485.73</v>
      </c>
      <c r="M977">
        <v>50762.19</v>
      </c>
      <c r="N977">
        <v>11.725</v>
      </c>
      <c r="O977">
        <v>5.3870000000000001E-2</v>
      </c>
      <c r="P977">
        <v>2.5569999999999999</v>
      </c>
      <c r="Q977">
        <v>128.6</v>
      </c>
      <c r="R977">
        <v>33.104999999999997</v>
      </c>
      <c r="S977">
        <v>161.5</v>
      </c>
    </row>
    <row r="978" spans="1:19" x14ac:dyDescent="0.3">
      <c r="A978" s="2">
        <v>45289</v>
      </c>
      <c r="B978">
        <v>70.83</v>
      </c>
      <c r="C978">
        <v>84.89</v>
      </c>
      <c r="D978">
        <v>97.04</v>
      </c>
      <c r="E978">
        <v>97.56</v>
      </c>
      <c r="F978">
        <v>103.05</v>
      </c>
      <c r="G978">
        <v>71.650000000000006</v>
      </c>
      <c r="H978">
        <v>77.040000000000006</v>
      </c>
      <c r="I978">
        <v>77.33</v>
      </c>
      <c r="J978">
        <v>99.98</v>
      </c>
      <c r="K978">
        <v>26.75</v>
      </c>
      <c r="L978">
        <v>76893.149999999994</v>
      </c>
      <c r="M978">
        <v>49946.59</v>
      </c>
      <c r="N978">
        <v>11.52</v>
      </c>
      <c r="O978">
        <v>5.4609999999999999E-2</v>
      </c>
      <c r="P978">
        <v>2.5139999999999998</v>
      </c>
      <c r="Q978">
        <v>128.43</v>
      </c>
      <c r="R978">
        <v>32.35</v>
      </c>
      <c r="S978">
        <v>168</v>
      </c>
    </row>
    <row r="979" spans="1:19" x14ac:dyDescent="0.3">
      <c r="A979" s="2">
        <v>45292</v>
      </c>
      <c r="B979">
        <v>87.953183520599239</v>
      </c>
      <c r="C979">
        <v>113.3531554307116</v>
      </c>
      <c r="D979">
        <v>134.97180711610491</v>
      </c>
      <c r="E979">
        <v>144.35149446494461</v>
      </c>
      <c r="F979">
        <v>123.75970973782771</v>
      </c>
      <c r="G979">
        <v>71.97</v>
      </c>
      <c r="H979">
        <v>76.283020072992699</v>
      </c>
      <c r="I979">
        <v>74.752492970946577</v>
      </c>
      <c r="J979">
        <v>80.871012183692585</v>
      </c>
      <c r="K979">
        <v>21.274702495201531</v>
      </c>
      <c r="L979">
        <v>68736.904810964072</v>
      </c>
      <c r="M979">
        <v>52972.178374291107</v>
      </c>
      <c r="N979">
        <v>17.62252908067542</v>
      </c>
      <c r="O979">
        <v>5.4629999999999998E-2</v>
      </c>
      <c r="P979">
        <v>2.6669999999999998</v>
      </c>
      <c r="Q979">
        <v>112.7561105904405</v>
      </c>
      <c r="R979">
        <v>57.384855947955387</v>
      </c>
      <c r="S979">
        <v>168</v>
      </c>
    </row>
    <row r="980" spans="1:19" x14ac:dyDescent="0.3">
      <c r="A980" s="2">
        <v>45293</v>
      </c>
      <c r="B980">
        <v>70.83</v>
      </c>
      <c r="C980">
        <v>84.89</v>
      </c>
      <c r="D980">
        <v>97.04</v>
      </c>
      <c r="E980">
        <v>94.75</v>
      </c>
      <c r="F980">
        <v>103.05</v>
      </c>
      <c r="G980">
        <v>70.38</v>
      </c>
      <c r="H980">
        <v>75.89</v>
      </c>
      <c r="I980">
        <v>75.97</v>
      </c>
      <c r="J980">
        <v>102.36</v>
      </c>
      <c r="K980">
        <v>27.5</v>
      </c>
      <c r="L980">
        <v>75709.14</v>
      </c>
      <c r="M980">
        <v>48660.02</v>
      </c>
      <c r="N980">
        <v>11.494999999999999</v>
      </c>
      <c r="O980">
        <v>5.3830000000000003E-2</v>
      </c>
      <c r="P980">
        <v>2.5680000000000001</v>
      </c>
      <c r="Q980">
        <v>126.45</v>
      </c>
      <c r="R980">
        <v>30.57</v>
      </c>
      <c r="S980">
        <v>165.95</v>
      </c>
    </row>
    <row r="981" spans="1:19" x14ac:dyDescent="0.3">
      <c r="A981" s="2">
        <v>45294</v>
      </c>
      <c r="B981">
        <v>70.83</v>
      </c>
      <c r="C981">
        <v>84.89</v>
      </c>
      <c r="D981">
        <v>97.04</v>
      </c>
      <c r="E981">
        <v>94.75</v>
      </c>
      <c r="F981">
        <v>103.05</v>
      </c>
      <c r="G981">
        <v>72.7</v>
      </c>
      <c r="H981">
        <v>78.25</v>
      </c>
      <c r="I981">
        <v>78.2</v>
      </c>
      <c r="J981">
        <v>103.22</v>
      </c>
      <c r="K981">
        <v>27.65</v>
      </c>
      <c r="L981">
        <v>74510.720000000001</v>
      </c>
      <c r="M981">
        <v>46173.52</v>
      </c>
      <c r="N981">
        <v>11.5</v>
      </c>
      <c r="O981">
        <v>5.339E-2</v>
      </c>
      <c r="P981">
        <v>2.6680000000000001</v>
      </c>
      <c r="Q981">
        <v>124.81</v>
      </c>
      <c r="R981">
        <v>32.795000000000002</v>
      </c>
      <c r="S981">
        <v>163.15</v>
      </c>
    </row>
    <row r="982" spans="1:19" x14ac:dyDescent="0.3">
      <c r="A982" s="2">
        <v>45295</v>
      </c>
      <c r="B982">
        <v>70.83</v>
      </c>
      <c r="C982">
        <v>84.89</v>
      </c>
      <c r="D982">
        <v>97.04</v>
      </c>
      <c r="E982">
        <v>94.75</v>
      </c>
      <c r="F982">
        <v>103.05</v>
      </c>
      <c r="G982">
        <v>72.19</v>
      </c>
      <c r="H982">
        <v>77.59</v>
      </c>
      <c r="I982">
        <v>77.14</v>
      </c>
      <c r="J982">
        <v>102.32</v>
      </c>
      <c r="K982">
        <v>28.2</v>
      </c>
      <c r="L982">
        <v>74522.490000000005</v>
      </c>
      <c r="M982">
        <v>45511.88</v>
      </c>
      <c r="N982">
        <v>11.555</v>
      </c>
      <c r="O982">
        <v>5.3429999999999998E-2</v>
      </c>
      <c r="P982">
        <v>2.8210000000000002</v>
      </c>
      <c r="Q982">
        <v>125.62</v>
      </c>
      <c r="R982">
        <v>33.409999999999997</v>
      </c>
      <c r="S982">
        <v>165.95</v>
      </c>
    </row>
    <row r="983" spans="1:19" x14ac:dyDescent="0.3">
      <c r="A983" s="2">
        <v>45296</v>
      </c>
      <c r="B983">
        <v>70.58</v>
      </c>
      <c r="C983">
        <v>84.87</v>
      </c>
      <c r="D983">
        <v>96.54</v>
      </c>
      <c r="E983">
        <v>94.75</v>
      </c>
      <c r="F983">
        <v>102.62</v>
      </c>
      <c r="G983">
        <v>73.81</v>
      </c>
      <c r="H983">
        <v>78.760000000000005</v>
      </c>
      <c r="I983">
        <v>78.290000000000006</v>
      </c>
      <c r="J983">
        <v>102.63</v>
      </c>
      <c r="K983">
        <v>28.1</v>
      </c>
      <c r="L983">
        <v>74488.2</v>
      </c>
      <c r="M983">
        <v>45269.93</v>
      </c>
      <c r="N983">
        <v>11.565</v>
      </c>
      <c r="O983">
        <v>5.3499999999999999E-2</v>
      </c>
      <c r="P983">
        <v>2.8929999999999998</v>
      </c>
      <c r="Q983">
        <v>125.79</v>
      </c>
      <c r="R983">
        <v>34.549999999999997</v>
      </c>
      <c r="S983">
        <v>164.2</v>
      </c>
    </row>
    <row r="984" spans="1:19" x14ac:dyDescent="0.3">
      <c r="A984" s="2">
        <v>45299</v>
      </c>
      <c r="B984">
        <v>70.58</v>
      </c>
      <c r="C984">
        <v>84.87</v>
      </c>
      <c r="D984">
        <v>96.54</v>
      </c>
      <c r="E984">
        <v>96.94</v>
      </c>
      <c r="F984">
        <v>102.62</v>
      </c>
      <c r="G984">
        <v>70.77</v>
      </c>
      <c r="H984">
        <v>76.12</v>
      </c>
      <c r="I984">
        <v>76.16</v>
      </c>
      <c r="J984">
        <v>100.92</v>
      </c>
      <c r="K984">
        <v>28.2</v>
      </c>
      <c r="L984">
        <v>74103.23</v>
      </c>
      <c r="M984">
        <v>44412.800000000003</v>
      </c>
      <c r="N984">
        <v>11.48</v>
      </c>
      <c r="O984">
        <v>5.373E-2</v>
      </c>
      <c r="P984">
        <v>2.98</v>
      </c>
      <c r="Q984">
        <v>128.41</v>
      </c>
      <c r="R984">
        <v>31.58</v>
      </c>
      <c r="S984">
        <v>160.9</v>
      </c>
    </row>
    <row r="985" spans="1:19" x14ac:dyDescent="0.3">
      <c r="A985" s="2">
        <v>45300</v>
      </c>
      <c r="B985">
        <v>70.58</v>
      </c>
      <c r="C985">
        <v>84.87</v>
      </c>
      <c r="D985">
        <v>96.54</v>
      </c>
      <c r="E985">
        <v>96.94</v>
      </c>
      <c r="F985">
        <v>102.62</v>
      </c>
      <c r="G985">
        <v>72.239999999999995</v>
      </c>
      <c r="H985">
        <v>77.59</v>
      </c>
      <c r="I985">
        <v>77.41</v>
      </c>
      <c r="J985">
        <v>99.67</v>
      </c>
      <c r="K985">
        <v>28.5</v>
      </c>
      <c r="L985">
        <v>73826.149999999994</v>
      </c>
      <c r="M985">
        <v>43746.12</v>
      </c>
      <c r="N985">
        <v>11.3</v>
      </c>
      <c r="O985">
        <v>5.3460000000000001E-2</v>
      </c>
      <c r="P985">
        <v>3.19</v>
      </c>
      <c r="Q985">
        <v>127.04</v>
      </c>
      <c r="R985">
        <v>30.64</v>
      </c>
      <c r="S985">
        <v>162.85</v>
      </c>
    </row>
    <row r="986" spans="1:19" x14ac:dyDescent="0.3">
      <c r="A986" s="2">
        <v>45301</v>
      </c>
      <c r="B986">
        <v>70.58</v>
      </c>
      <c r="C986">
        <v>84.87</v>
      </c>
      <c r="D986">
        <v>96.54</v>
      </c>
      <c r="E986">
        <v>96.94</v>
      </c>
      <c r="F986">
        <v>102.62</v>
      </c>
      <c r="G986">
        <v>71.37</v>
      </c>
      <c r="H986">
        <v>76.8</v>
      </c>
      <c r="I986">
        <v>77.040000000000006</v>
      </c>
      <c r="J986">
        <v>98.69</v>
      </c>
      <c r="K986">
        <v>28.65</v>
      </c>
      <c r="L986">
        <v>73586.98</v>
      </c>
      <c r="M986">
        <v>43357.79</v>
      </c>
      <c r="N986">
        <v>11.285</v>
      </c>
      <c r="O986">
        <v>5.3499999999999999E-2</v>
      </c>
      <c r="P986">
        <v>3.0390000000000001</v>
      </c>
      <c r="Q986">
        <v>127.65</v>
      </c>
      <c r="R986">
        <v>30.94</v>
      </c>
      <c r="S986">
        <v>164.05</v>
      </c>
    </row>
    <row r="987" spans="1:19" x14ac:dyDescent="0.3">
      <c r="A987" s="2">
        <v>45302</v>
      </c>
      <c r="B987">
        <v>70.58</v>
      </c>
      <c r="C987">
        <v>84.87</v>
      </c>
      <c r="D987">
        <v>96.54</v>
      </c>
      <c r="E987">
        <v>96.94</v>
      </c>
      <c r="F987">
        <v>102.62</v>
      </c>
      <c r="G987">
        <v>72.02</v>
      </c>
      <c r="H987">
        <v>77.41</v>
      </c>
      <c r="I987">
        <v>77.48</v>
      </c>
      <c r="J987">
        <v>98.67</v>
      </c>
      <c r="K987">
        <v>27.8</v>
      </c>
      <c r="L987">
        <v>73834.28</v>
      </c>
      <c r="M987">
        <v>43473.14</v>
      </c>
      <c r="N987">
        <v>11.244999999999999</v>
      </c>
      <c r="O987">
        <v>5.3629999999999997E-2</v>
      </c>
      <c r="P987">
        <v>3.097</v>
      </c>
      <c r="Q987">
        <v>126.77</v>
      </c>
      <c r="R987">
        <v>30.815000000000001</v>
      </c>
      <c r="S987">
        <v>166.9</v>
      </c>
    </row>
    <row r="988" spans="1:19" x14ac:dyDescent="0.3">
      <c r="A988" s="2">
        <v>45303</v>
      </c>
      <c r="B988">
        <v>68.88</v>
      </c>
      <c r="C988">
        <v>84.49</v>
      </c>
      <c r="D988">
        <v>94.3</v>
      </c>
      <c r="E988">
        <v>96.94</v>
      </c>
      <c r="F988">
        <v>101.8</v>
      </c>
      <c r="G988">
        <v>72.680000000000007</v>
      </c>
      <c r="H988">
        <v>78.290000000000006</v>
      </c>
      <c r="I988">
        <v>77.88</v>
      </c>
      <c r="J988">
        <v>99.95</v>
      </c>
      <c r="K988">
        <v>28.4</v>
      </c>
      <c r="L988">
        <v>74240.759999999995</v>
      </c>
      <c r="M988">
        <v>45277.56</v>
      </c>
      <c r="N988">
        <v>11.2</v>
      </c>
      <c r="O988">
        <v>5.3699999999999998E-2</v>
      </c>
      <c r="P988">
        <v>3.3130000000000002</v>
      </c>
      <c r="Q988">
        <v>126.96</v>
      </c>
      <c r="R988">
        <v>31.99</v>
      </c>
      <c r="S988">
        <v>164.4</v>
      </c>
    </row>
    <row r="989" spans="1:19" x14ac:dyDescent="0.3">
      <c r="A989" s="2">
        <v>45306</v>
      </c>
      <c r="B989">
        <v>68.88</v>
      </c>
      <c r="C989">
        <v>84.49</v>
      </c>
      <c r="D989">
        <v>94.3</v>
      </c>
      <c r="E989">
        <v>96.23</v>
      </c>
      <c r="F989">
        <v>101.8</v>
      </c>
      <c r="G989">
        <v>72.790000000000006</v>
      </c>
      <c r="H989">
        <v>78.150000000000006</v>
      </c>
      <c r="I989">
        <v>74.752492970946577</v>
      </c>
      <c r="J989">
        <v>80.871012183692585</v>
      </c>
      <c r="K989">
        <v>28.55</v>
      </c>
      <c r="L989">
        <v>73675.740000000005</v>
      </c>
      <c r="M989">
        <v>45268.07</v>
      </c>
      <c r="N989">
        <v>17.62252908067542</v>
      </c>
      <c r="O989">
        <v>5.3490000000000003E-2</v>
      </c>
      <c r="P989">
        <v>3.0659999999999998</v>
      </c>
      <c r="Q989">
        <v>112.7561105904405</v>
      </c>
      <c r="R989">
        <v>29.914999999999999</v>
      </c>
      <c r="S989">
        <v>163.65</v>
      </c>
    </row>
    <row r="990" spans="1:19" x14ac:dyDescent="0.3">
      <c r="A990" s="2">
        <v>45307</v>
      </c>
      <c r="B990">
        <v>68.88</v>
      </c>
      <c r="C990">
        <v>84.49</v>
      </c>
      <c r="D990">
        <v>94.3</v>
      </c>
      <c r="E990">
        <v>96.23</v>
      </c>
      <c r="F990">
        <v>101.8</v>
      </c>
      <c r="G990">
        <v>72.400000000000006</v>
      </c>
      <c r="H990">
        <v>78.290000000000006</v>
      </c>
      <c r="I990">
        <v>77.7</v>
      </c>
      <c r="J990">
        <v>97.69</v>
      </c>
      <c r="K990">
        <v>28.45</v>
      </c>
      <c r="L990">
        <v>73007.62</v>
      </c>
      <c r="M990">
        <v>44252.01</v>
      </c>
      <c r="N990">
        <v>10.025</v>
      </c>
      <c r="O990">
        <v>5.2690000000000001E-2</v>
      </c>
      <c r="P990">
        <v>2.9</v>
      </c>
      <c r="Q990">
        <v>126.03</v>
      </c>
      <c r="R990">
        <v>29.655000000000001</v>
      </c>
      <c r="S990">
        <v>164.1</v>
      </c>
    </row>
    <row r="991" spans="1:19" x14ac:dyDescent="0.3">
      <c r="A991" s="2">
        <v>45308</v>
      </c>
      <c r="B991">
        <v>68.88</v>
      </c>
      <c r="C991">
        <v>84.49</v>
      </c>
      <c r="D991">
        <v>94.3</v>
      </c>
      <c r="E991">
        <v>96.23</v>
      </c>
      <c r="F991">
        <v>101.8</v>
      </c>
      <c r="G991">
        <v>72.56</v>
      </c>
      <c r="H991">
        <v>77.88</v>
      </c>
      <c r="I991">
        <v>77.45</v>
      </c>
      <c r="J991">
        <v>96.98</v>
      </c>
      <c r="K991">
        <v>27.8</v>
      </c>
      <c r="L991">
        <v>71693.09</v>
      </c>
      <c r="M991">
        <v>42706.79</v>
      </c>
      <c r="N991">
        <v>9.5500000000000007</v>
      </c>
      <c r="O991">
        <v>5.2449999999999997E-2</v>
      </c>
      <c r="P991">
        <v>2.87</v>
      </c>
      <c r="Q991">
        <v>125.83</v>
      </c>
      <c r="R991">
        <v>27.71</v>
      </c>
      <c r="S991">
        <v>147.25</v>
      </c>
    </row>
    <row r="992" spans="1:19" x14ac:dyDescent="0.3">
      <c r="A992" s="2">
        <v>45309</v>
      </c>
      <c r="B992">
        <v>68.88</v>
      </c>
      <c r="C992">
        <v>84.49</v>
      </c>
      <c r="D992">
        <v>94.3</v>
      </c>
      <c r="E992">
        <v>96.23</v>
      </c>
      <c r="F992">
        <v>101.8</v>
      </c>
      <c r="G992">
        <v>74.08</v>
      </c>
      <c r="H992">
        <v>79.099999999999994</v>
      </c>
      <c r="I992">
        <v>77.989999999999995</v>
      </c>
      <c r="J992">
        <v>96.8</v>
      </c>
      <c r="K992">
        <v>27.8</v>
      </c>
      <c r="L992">
        <v>72344.399999999994</v>
      </c>
      <c r="M992">
        <v>43026.28</v>
      </c>
      <c r="N992">
        <v>9.5549999999999997</v>
      </c>
      <c r="O992">
        <v>5.2789999999999997E-2</v>
      </c>
      <c r="P992">
        <v>2.6970000000000001</v>
      </c>
      <c r="Q992">
        <v>126.63</v>
      </c>
      <c r="R992">
        <v>27.895</v>
      </c>
      <c r="S992">
        <v>137.19999999999999</v>
      </c>
    </row>
    <row r="993" spans="1:19" x14ac:dyDescent="0.3">
      <c r="A993" s="2">
        <v>45310</v>
      </c>
      <c r="B993">
        <v>66.819999999999993</v>
      </c>
      <c r="C993">
        <v>82.68</v>
      </c>
      <c r="D993">
        <v>92.74</v>
      </c>
      <c r="E993">
        <v>96.23</v>
      </c>
      <c r="F993">
        <v>99.5</v>
      </c>
      <c r="G993">
        <v>73.41</v>
      </c>
      <c r="H993">
        <v>78.56</v>
      </c>
      <c r="I993">
        <v>77.77</v>
      </c>
      <c r="J993">
        <v>96.95</v>
      </c>
      <c r="K993">
        <v>27</v>
      </c>
      <c r="L993">
        <v>72660.91</v>
      </c>
      <c r="M993">
        <v>43198.57</v>
      </c>
      <c r="N993">
        <v>9.5850000000000009</v>
      </c>
      <c r="O993">
        <v>5.2569999999999999E-2</v>
      </c>
      <c r="P993">
        <v>2.5190000000000001</v>
      </c>
      <c r="Q993">
        <v>126.45</v>
      </c>
      <c r="R993">
        <v>28.428999999999998</v>
      </c>
      <c r="S993">
        <v>140.05000000000001</v>
      </c>
    </row>
    <row r="994" spans="1:19" x14ac:dyDescent="0.3">
      <c r="A994" s="2">
        <v>45313</v>
      </c>
      <c r="B994">
        <v>66.819999999999993</v>
      </c>
      <c r="C994">
        <v>82.68</v>
      </c>
      <c r="D994">
        <v>92.74</v>
      </c>
      <c r="E994">
        <v>91.04</v>
      </c>
      <c r="F994">
        <v>99.5</v>
      </c>
      <c r="G994">
        <v>75.19</v>
      </c>
      <c r="H994">
        <v>80.06</v>
      </c>
      <c r="I994">
        <v>78.3</v>
      </c>
      <c r="J994">
        <v>96.82</v>
      </c>
      <c r="K994">
        <v>26.65</v>
      </c>
      <c r="L994">
        <v>72351.5</v>
      </c>
      <c r="M994">
        <v>43084.83</v>
      </c>
      <c r="N994">
        <v>9.4049999999999994</v>
      </c>
      <c r="O994">
        <v>5.2069999999999998E-2</v>
      </c>
      <c r="P994">
        <v>2.419</v>
      </c>
      <c r="Q994">
        <v>127.3</v>
      </c>
      <c r="R994">
        <v>27.265000000000001</v>
      </c>
      <c r="S994">
        <v>141.61602674307539</v>
      </c>
    </row>
    <row r="995" spans="1:19" x14ac:dyDescent="0.3">
      <c r="A995" s="2">
        <v>45314</v>
      </c>
      <c r="B995">
        <v>66.819999999999993</v>
      </c>
      <c r="C995">
        <v>82.68</v>
      </c>
      <c r="D995">
        <v>92.74</v>
      </c>
      <c r="E995">
        <v>91.04</v>
      </c>
      <c r="F995">
        <v>99.5</v>
      </c>
      <c r="G995">
        <v>74.37</v>
      </c>
      <c r="H995">
        <v>79.55</v>
      </c>
      <c r="I995">
        <v>78.180000000000007</v>
      </c>
      <c r="J995">
        <v>97.91</v>
      </c>
      <c r="K995">
        <v>27.15</v>
      </c>
      <c r="L995">
        <v>73337.19</v>
      </c>
      <c r="M995">
        <v>44556.160000000003</v>
      </c>
      <c r="N995">
        <v>9.3350000000000009</v>
      </c>
      <c r="O995">
        <v>5.2510000000000001E-2</v>
      </c>
      <c r="P995">
        <v>2.4500000000000002</v>
      </c>
      <c r="Q995">
        <v>127.14</v>
      </c>
      <c r="R995">
        <v>27.225000000000001</v>
      </c>
      <c r="S995">
        <v>136.44999999999999</v>
      </c>
    </row>
    <row r="996" spans="1:19" x14ac:dyDescent="0.3">
      <c r="A996" s="2">
        <v>45315</v>
      </c>
      <c r="B996">
        <v>66.819999999999993</v>
      </c>
      <c r="C996">
        <v>82.68</v>
      </c>
      <c r="D996">
        <v>92.74</v>
      </c>
      <c r="E996">
        <v>91.04</v>
      </c>
      <c r="F996">
        <v>99.5</v>
      </c>
      <c r="G996">
        <v>75.09</v>
      </c>
      <c r="H996">
        <v>80.040000000000006</v>
      </c>
      <c r="I996">
        <v>78.33</v>
      </c>
      <c r="J996">
        <v>99.6</v>
      </c>
      <c r="K996">
        <v>28.5</v>
      </c>
      <c r="L996">
        <v>74320.11</v>
      </c>
      <c r="M996">
        <v>46171.85</v>
      </c>
      <c r="N996">
        <v>9.5749999999999993</v>
      </c>
      <c r="O996">
        <v>5.2920000000000002E-2</v>
      </c>
      <c r="P996">
        <v>2.641</v>
      </c>
      <c r="Q996">
        <v>127.04</v>
      </c>
      <c r="R996">
        <v>28.93</v>
      </c>
      <c r="S996">
        <v>136.80000000000001</v>
      </c>
    </row>
    <row r="997" spans="1:19" x14ac:dyDescent="0.3">
      <c r="A997" s="2">
        <v>45316</v>
      </c>
      <c r="B997">
        <v>66.819999999999993</v>
      </c>
      <c r="C997">
        <v>82.68</v>
      </c>
      <c r="D997">
        <v>92.74</v>
      </c>
      <c r="E997">
        <v>91.04</v>
      </c>
      <c r="F997">
        <v>99.5</v>
      </c>
      <c r="G997">
        <v>77.36</v>
      </c>
      <c r="H997">
        <v>82.43</v>
      </c>
      <c r="I997">
        <v>78.81</v>
      </c>
      <c r="J997">
        <v>102.13</v>
      </c>
      <c r="K997">
        <v>29.55</v>
      </c>
      <c r="L997">
        <v>74040.539999999994</v>
      </c>
      <c r="M997">
        <v>46310.15</v>
      </c>
      <c r="N997">
        <v>9.39</v>
      </c>
      <c r="O997">
        <v>5.2979999999999999E-2</v>
      </c>
      <c r="P997">
        <v>2.5710000000000002</v>
      </c>
      <c r="Q997">
        <v>127.29</v>
      </c>
      <c r="R997">
        <v>27.785</v>
      </c>
      <c r="S997">
        <v>135.69999999999999</v>
      </c>
    </row>
    <row r="998" spans="1:19" x14ac:dyDescent="0.3">
      <c r="A998" s="2">
        <v>45317</v>
      </c>
      <c r="B998">
        <v>63.76</v>
      </c>
      <c r="C998">
        <v>79.22</v>
      </c>
      <c r="D998">
        <v>89.26</v>
      </c>
      <c r="E998">
        <v>91.04</v>
      </c>
      <c r="F998">
        <v>97.7</v>
      </c>
      <c r="G998">
        <v>78.010000000000005</v>
      </c>
      <c r="H998">
        <v>83.55</v>
      </c>
      <c r="I998">
        <v>78.89</v>
      </c>
      <c r="J998">
        <v>103</v>
      </c>
      <c r="K998">
        <v>29.65</v>
      </c>
      <c r="L998">
        <v>75084.38</v>
      </c>
      <c r="M998">
        <v>46889.74</v>
      </c>
      <c r="N998">
        <v>9.2899999999999991</v>
      </c>
      <c r="O998">
        <v>5.3199999999999997E-2</v>
      </c>
      <c r="P998">
        <v>2.7120000000000002</v>
      </c>
      <c r="Q998">
        <v>127.26</v>
      </c>
      <c r="R998">
        <v>28.079000000000001</v>
      </c>
      <c r="S998">
        <v>141.61602674307539</v>
      </c>
    </row>
    <row r="999" spans="1:19" x14ac:dyDescent="0.3">
      <c r="A999" s="2">
        <v>45320</v>
      </c>
      <c r="B999">
        <v>63.76</v>
      </c>
      <c r="C999">
        <v>79.22</v>
      </c>
      <c r="D999">
        <v>89.26</v>
      </c>
      <c r="E999">
        <v>90.16</v>
      </c>
      <c r="F999">
        <v>97.7</v>
      </c>
      <c r="G999">
        <v>76.78</v>
      </c>
      <c r="H999">
        <v>82.4</v>
      </c>
      <c r="I999">
        <v>78.78</v>
      </c>
      <c r="J999">
        <v>103.13</v>
      </c>
      <c r="K999">
        <v>29.8</v>
      </c>
      <c r="L999">
        <v>74370.53</v>
      </c>
      <c r="M999">
        <v>46346.57</v>
      </c>
      <c r="N999">
        <v>9.39</v>
      </c>
      <c r="O999">
        <v>5.3120000000000001E-2</v>
      </c>
      <c r="P999">
        <v>2.4900000000000002</v>
      </c>
      <c r="Q999">
        <v>128.18</v>
      </c>
      <c r="R999">
        <v>28.175000000000001</v>
      </c>
      <c r="S999">
        <v>140.44999999999999</v>
      </c>
    </row>
    <row r="1000" spans="1:19" x14ac:dyDescent="0.3">
      <c r="A1000" s="2">
        <v>45321</v>
      </c>
      <c r="B1000">
        <v>63.76</v>
      </c>
      <c r="C1000">
        <v>79.22</v>
      </c>
      <c r="D1000">
        <v>89.26</v>
      </c>
      <c r="E1000">
        <v>90.16</v>
      </c>
      <c r="F1000">
        <v>97.7</v>
      </c>
      <c r="G1000">
        <v>77.819999999999993</v>
      </c>
      <c r="H1000">
        <v>82.87</v>
      </c>
      <c r="I1000">
        <v>78.83</v>
      </c>
      <c r="J1000">
        <v>104.85</v>
      </c>
      <c r="K1000">
        <v>28.95</v>
      </c>
      <c r="L1000">
        <v>74611.45</v>
      </c>
      <c r="M1000">
        <v>47100.28</v>
      </c>
      <c r="N1000">
        <v>9.48</v>
      </c>
      <c r="O1000">
        <v>5.314E-2</v>
      </c>
      <c r="P1000">
        <v>2.077</v>
      </c>
      <c r="Q1000">
        <v>129.02000000000001</v>
      </c>
      <c r="R1000">
        <v>29.390999999999998</v>
      </c>
      <c r="S1000">
        <v>145.1</v>
      </c>
    </row>
    <row r="1001" spans="1:19" x14ac:dyDescent="0.3">
      <c r="A1001" s="2">
        <v>45322</v>
      </c>
      <c r="B1001">
        <v>63.76</v>
      </c>
      <c r="C1001">
        <v>79.22</v>
      </c>
      <c r="D1001">
        <v>89.26</v>
      </c>
      <c r="E1001">
        <v>90.16</v>
      </c>
      <c r="F1001">
        <v>97.7</v>
      </c>
      <c r="G1001">
        <v>75.849999999999994</v>
      </c>
      <c r="H1001">
        <v>81.709999999999994</v>
      </c>
      <c r="I1001">
        <v>78.849999999999994</v>
      </c>
      <c r="J1001">
        <v>102.81</v>
      </c>
      <c r="K1001">
        <v>29.55</v>
      </c>
      <c r="L1001">
        <v>74555.87</v>
      </c>
      <c r="M1001">
        <v>46961.27</v>
      </c>
      <c r="N1001">
        <v>9.5299999999999994</v>
      </c>
      <c r="O1001">
        <v>5.348E-2</v>
      </c>
      <c r="P1001">
        <v>2.1</v>
      </c>
      <c r="Q1001">
        <v>127.33</v>
      </c>
      <c r="R1001">
        <v>30.234999999999999</v>
      </c>
      <c r="S1001">
        <v>147.6</v>
      </c>
    </row>
    <row r="1002" spans="1:19" x14ac:dyDescent="0.3">
      <c r="A1002" s="2">
        <v>45323</v>
      </c>
      <c r="B1002">
        <v>63.76</v>
      </c>
      <c r="C1002">
        <v>79.22</v>
      </c>
      <c r="D1002">
        <v>89.26</v>
      </c>
      <c r="E1002">
        <v>90.16</v>
      </c>
      <c r="F1002">
        <v>97.7</v>
      </c>
      <c r="G1002">
        <v>73.819999999999993</v>
      </c>
      <c r="H1002">
        <v>78.7</v>
      </c>
      <c r="I1002">
        <v>78.569999999999993</v>
      </c>
      <c r="J1002">
        <v>102.39</v>
      </c>
      <c r="K1002">
        <v>29.3</v>
      </c>
      <c r="L1002">
        <v>74469.95</v>
      </c>
      <c r="M1002">
        <v>47705.03</v>
      </c>
      <c r="N1002">
        <v>9.4600000000000009</v>
      </c>
      <c r="O1002">
        <v>5.3760000000000002E-2</v>
      </c>
      <c r="P1002">
        <v>2.0499999999999998</v>
      </c>
      <c r="Q1002">
        <v>129.72999999999999</v>
      </c>
      <c r="R1002">
        <v>28.99</v>
      </c>
      <c r="S1002">
        <v>146.30000000000001</v>
      </c>
    </row>
    <row r="1003" spans="1:19" x14ac:dyDescent="0.3">
      <c r="A1003" s="2">
        <v>45324</v>
      </c>
      <c r="B1003">
        <v>63.95</v>
      </c>
      <c r="C1003">
        <v>78.739999999999995</v>
      </c>
      <c r="D1003">
        <v>88.83</v>
      </c>
      <c r="E1003">
        <v>90.16</v>
      </c>
      <c r="F1003">
        <v>95.42</v>
      </c>
      <c r="G1003">
        <v>72.28</v>
      </c>
      <c r="H1003">
        <v>77.33</v>
      </c>
      <c r="I1003">
        <v>77.36</v>
      </c>
      <c r="J1003">
        <v>101.97</v>
      </c>
      <c r="K1003">
        <v>29.75</v>
      </c>
      <c r="L1003">
        <v>74381.960000000006</v>
      </c>
      <c r="M1003">
        <v>46915.01</v>
      </c>
      <c r="N1003">
        <v>9.4600000000000009</v>
      </c>
      <c r="O1003">
        <v>5.2880000000000003E-2</v>
      </c>
      <c r="P1003">
        <v>2.0790000000000002</v>
      </c>
      <c r="Q1003">
        <v>128.69999999999999</v>
      </c>
      <c r="R1003">
        <v>29.305</v>
      </c>
      <c r="S1003">
        <v>146.05000000000001</v>
      </c>
    </row>
    <row r="1004" spans="1:19" x14ac:dyDescent="0.3">
      <c r="A1004" s="2">
        <v>45327</v>
      </c>
      <c r="B1004">
        <v>63.95</v>
      </c>
      <c r="C1004">
        <v>78.739999999999995</v>
      </c>
      <c r="D1004">
        <v>88.83</v>
      </c>
      <c r="E1004">
        <v>92.22</v>
      </c>
      <c r="F1004">
        <v>95.42</v>
      </c>
      <c r="G1004">
        <v>72.78</v>
      </c>
      <c r="H1004">
        <v>77.989999999999995</v>
      </c>
      <c r="I1004">
        <v>78.08</v>
      </c>
      <c r="J1004">
        <v>101.55</v>
      </c>
      <c r="K1004">
        <v>29.75</v>
      </c>
      <c r="L1004">
        <v>74033.919999999998</v>
      </c>
      <c r="M1004">
        <v>45847.74</v>
      </c>
      <c r="N1004">
        <v>9.4550000000000001</v>
      </c>
      <c r="O1004">
        <v>5.2420000000000001E-2</v>
      </c>
      <c r="P1004">
        <v>2.0819999999999999</v>
      </c>
      <c r="Q1004">
        <v>126.75</v>
      </c>
      <c r="R1004">
        <v>28.34</v>
      </c>
      <c r="S1004">
        <v>146.55000000000001</v>
      </c>
    </row>
    <row r="1005" spans="1:19" x14ac:dyDescent="0.3">
      <c r="A1005" s="2">
        <v>45328</v>
      </c>
      <c r="B1005">
        <v>63.95</v>
      </c>
      <c r="C1005">
        <v>78.739999999999995</v>
      </c>
      <c r="D1005">
        <v>88.83</v>
      </c>
      <c r="E1005">
        <v>92.22</v>
      </c>
      <c r="F1005">
        <v>95.42</v>
      </c>
      <c r="G1005">
        <v>73.31</v>
      </c>
      <c r="H1005">
        <v>78.59</v>
      </c>
      <c r="I1005">
        <v>78.349999999999994</v>
      </c>
      <c r="J1005">
        <v>102.25</v>
      </c>
      <c r="K1005">
        <v>30</v>
      </c>
      <c r="L1005">
        <v>74558.52</v>
      </c>
      <c r="M1005">
        <v>45962.07</v>
      </c>
      <c r="N1005">
        <v>9.4700000000000006</v>
      </c>
      <c r="O1005">
        <v>5.3069999999999999E-2</v>
      </c>
      <c r="P1005">
        <v>2.0089999999999999</v>
      </c>
      <c r="Q1005">
        <v>126.33</v>
      </c>
      <c r="R1005">
        <v>28.605</v>
      </c>
      <c r="S1005">
        <v>152.85</v>
      </c>
    </row>
    <row r="1006" spans="1:19" x14ac:dyDescent="0.3">
      <c r="A1006" s="2">
        <v>45329</v>
      </c>
      <c r="B1006">
        <v>63.95</v>
      </c>
      <c r="C1006">
        <v>78.739999999999995</v>
      </c>
      <c r="D1006">
        <v>88.83</v>
      </c>
      <c r="E1006">
        <v>92.22</v>
      </c>
      <c r="F1006">
        <v>95.42</v>
      </c>
      <c r="G1006">
        <v>73.86</v>
      </c>
      <c r="H1006">
        <v>79.209999999999994</v>
      </c>
      <c r="I1006">
        <v>78.849999999999994</v>
      </c>
      <c r="J1006">
        <v>102.22</v>
      </c>
      <c r="K1006">
        <v>30.5</v>
      </c>
      <c r="L1006">
        <v>74313.440000000002</v>
      </c>
      <c r="M1006">
        <v>45773.56</v>
      </c>
      <c r="N1006">
        <v>9.4499999999999993</v>
      </c>
      <c r="O1006">
        <v>5.2909999999999999E-2</v>
      </c>
      <c r="P1006">
        <v>1.9670000000000001</v>
      </c>
      <c r="Q1006">
        <v>128.08000000000001</v>
      </c>
      <c r="R1006">
        <v>28.184999999999999</v>
      </c>
      <c r="S1006">
        <v>145.1</v>
      </c>
    </row>
    <row r="1007" spans="1:19" x14ac:dyDescent="0.3">
      <c r="A1007" s="2">
        <v>45330</v>
      </c>
      <c r="B1007">
        <v>63.95</v>
      </c>
      <c r="C1007">
        <v>78.739999999999995</v>
      </c>
      <c r="D1007">
        <v>88.83</v>
      </c>
      <c r="E1007">
        <v>92.22</v>
      </c>
      <c r="F1007">
        <v>95.42</v>
      </c>
      <c r="G1007">
        <v>76.22</v>
      </c>
      <c r="H1007">
        <v>81.63</v>
      </c>
      <c r="I1007">
        <v>80.56</v>
      </c>
      <c r="J1007">
        <v>103.97</v>
      </c>
      <c r="K1007">
        <v>29.95</v>
      </c>
      <c r="L1007">
        <v>73725.38</v>
      </c>
      <c r="M1007">
        <v>44219.48</v>
      </c>
      <c r="N1007">
        <v>9.4499999999999993</v>
      </c>
      <c r="O1007">
        <v>5.271E-2</v>
      </c>
      <c r="P1007">
        <v>1.917</v>
      </c>
      <c r="Q1007">
        <v>134.12</v>
      </c>
      <c r="R1007">
        <v>27.81</v>
      </c>
      <c r="S1007">
        <v>144.44999999999999</v>
      </c>
    </row>
    <row r="1008" spans="1:19" x14ac:dyDescent="0.3">
      <c r="A1008" s="2">
        <v>45331</v>
      </c>
      <c r="B1008">
        <v>65.8</v>
      </c>
      <c r="C1008">
        <v>81.73</v>
      </c>
      <c r="D1008">
        <v>91</v>
      </c>
      <c r="E1008">
        <v>92.22</v>
      </c>
      <c r="F1008">
        <v>96.54</v>
      </c>
      <c r="G1008">
        <v>76.84</v>
      </c>
      <c r="H1008">
        <v>82.19</v>
      </c>
      <c r="I1008">
        <v>80.66</v>
      </c>
      <c r="J1008">
        <v>101.77</v>
      </c>
      <c r="K1008">
        <v>29.9</v>
      </c>
      <c r="L1008">
        <v>73423.3</v>
      </c>
      <c r="M1008">
        <v>43238.2</v>
      </c>
      <c r="N1008">
        <v>9.4350000000000005</v>
      </c>
      <c r="O1008">
        <v>5.2470000000000003E-2</v>
      </c>
      <c r="P1008">
        <v>1.847</v>
      </c>
      <c r="Q1008">
        <v>135.49</v>
      </c>
      <c r="R1008">
        <v>27.114999999999998</v>
      </c>
      <c r="S1008">
        <v>143.75</v>
      </c>
    </row>
    <row r="1009" spans="1:19" x14ac:dyDescent="0.3">
      <c r="A1009" s="2">
        <v>45334</v>
      </c>
      <c r="B1009">
        <v>65.8</v>
      </c>
      <c r="C1009">
        <v>81.73</v>
      </c>
      <c r="D1009">
        <v>91</v>
      </c>
      <c r="E1009">
        <v>92.87</v>
      </c>
      <c r="F1009">
        <v>96.54</v>
      </c>
      <c r="G1009">
        <v>76.92</v>
      </c>
      <c r="H1009">
        <v>82</v>
      </c>
      <c r="I1009">
        <v>80.59</v>
      </c>
      <c r="J1009">
        <v>103.17</v>
      </c>
      <c r="K1009">
        <v>21.274702495201531</v>
      </c>
      <c r="L1009">
        <v>73722.100000000006</v>
      </c>
      <c r="M1009">
        <v>43271.24</v>
      </c>
      <c r="N1009">
        <v>9.4350000000000005</v>
      </c>
      <c r="O1009">
        <v>5.287E-2</v>
      </c>
      <c r="P1009">
        <v>1.768</v>
      </c>
      <c r="Q1009">
        <v>135.46</v>
      </c>
      <c r="R1009">
        <v>25.73</v>
      </c>
      <c r="S1009">
        <v>140</v>
      </c>
    </row>
    <row r="1010" spans="1:19" x14ac:dyDescent="0.3">
      <c r="A1010" s="2">
        <v>45335</v>
      </c>
      <c r="B1010">
        <v>65.8</v>
      </c>
      <c r="C1010">
        <v>81.73</v>
      </c>
      <c r="D1010">
        <v>91</v>
      </c>
      <c r="E1010">
        <v>92.87</v>
      </c>
      <c r="F1010">
        <v>96.54</v>
      </c>
      <c r="G1010">
        <v>77.87</v>
      </c>
      <c r="H1010">
        <v>82.77</v>
      </c>
      <c r="I1010">
        <v>81.099999999999994</v>
      </c>
      <c r="J1010">
        <v>101.34</v>
      </c>
      <c r="K1010">
        <v>21.274702495201531</v>
      </c>
      <c r="L1010">
        <v>73062.59</v>
      </c>
      <c r="M1010">
        <v>42486.85</v>
      </c>
      <c r="N1010">
        <v>9.4049999999999994</v>
      </c>
      <c r="O1010">
        <v>5.228E-2</v>
      </c>
      <c r="P1010">
        <v>1.6890000000000001</v>
      </c>
      <c r="Q1010">
        <v>134.41</v>
      </c>
      <c r="R1010">
        <v>25.434999999999999</v>
      </c>
      <c r="S1010">
        <v>144.5</v>
      </c>
    </row>
    <row r="1011" spans="1:19" x14ac:dyDescent="0.3">
      <c r="A1011" s="2">
        <v>45336</v>
      </c>
      <c r="B1011">
        <v>65.8</v>
      </c>
      <c r="C1011">
        <v>81.73</v>
      </c>
      <c r="D1011">
        <v>91</v>
      </c>
      <c r="E1011">
        <v>92.87</v>
      </c>
      <c r="F1011">
        <v>96.54</v>
      </c>
      <c r="G1011">
        <v>76.64</v>
      </c>
      <c r="H1011">
        <v>81.599999999999994</v>
      </c>
      <c r="I1011">
        <v>80.41</v>
      </c>
      <c r="J1011">
        <v>100.84</v>
      </c>
      <c r="K1011">
        <v>29.75</v>
      </c>
      <c r="L1011">
        <v>73009.740000000005</v>
      </c>
      <c r="M1011">
        <v>42106.75</v>
      </c>
      <c r="N1011">
        <v>9.3650000000000002</v>
      </c>
      <c r="O1011">
        <v>5.246E-2</v>
      </c>
      <c r="P1011">
        <v>1.609</v>
      </c>
      <c r="Q1011">
        <v>136.66</v>
      </c>
      <c r="R1011">
        <v>24.855</v>
      </c>
      <c r="S1011">
        <v>143.94999999999999</v>
      </c>
    </row>
    <row r="1012" spans="1:19" x14ac:dyDescent="0.3">
      <c r="A1012" s="2">
        <v>45337</v>
      </c>
      <c r="B1012">
        <v>65.8</v>
      </c>
      <c r="C1012">
        <v>81.73</v>
      </c>
      <c r="D1012">
        <v>91</v>
      </c>
      <c r="E1012">
        <v>92.87</v>
      </c>
      <c r="F1012">
        <v>96.54</v>
      </c>
      <c r="G1012">
        <v>78.03</v>
      </c>
      <c r="H1012">
        <v>82.86</v>
      </c>
      <c r="I1012">
        <v>81.02</v>
      </c>
      <c r="J1012">
        <v>103.73</v>
      </c>
      <c r="K1012">
        <v>29.9</v>
      </c>
      <c r="L1012">
        <v>73218.44</v>
      </c>
      <c r="M1012">
        <v>43875.96</v>
      </c>
      <c r="N1012">
        <v>9.3469999999999995</v>
      </c>
      <c r="O1012">
        <v>5.2769999999999997E-2</v>
      </c>
      <c r="P1012">
        <v>1.647</v>
      </c>
      <c r="Q1012">
        <v>136.88999999999999</v>
      </c>
      <c r="R1012">
        <v>24.965</v>
      </c>
      <c r="S1012">
        <v>144.6</v>
      </c>
    </row>
    <row r="1013" spans="1:19" x14ac:dyDescent="0.3">
      <c r="A1013" s="2">
        <v>45338</v>
      </c>
      <c r="B1013">
        <v>65.88</v>
      </c>
      <c r="C1013">
        <v>82.04</v>
      </c>
      <c r="D1013">
        <v>90.98</v>
      </c>
      <c r="E1013">
        <v>92.87</v>
      </c>
      <c r="F1013">
        <v>96.79</v>
      </c>
      <c r="G1013">
        <v>79.19</v>
      </c>
      <c r="H1013">
        <v>83.47</v>
      </c>
      <c r="I1013">
        <v>81.239999999999995</v>
      </c>
      <c r="J1013">
        <v>103.73</v>
      </c>
      <c r="K1013">
        <v>29.9</v>
      </c>
      <c r="L1013">
        <v>73616.06</v>
      </c>
      <c r="M1013">
        <v>43415.92</v>
      </c>
      <c r="N1013">
        <v>8.57</v>
      </c>
      <c r="O1013">
        <v>5.289E-2</v>
      </c>
      <c r="P1013">
        <v>1.68</v>
      </c>
      <c r="Q1013">
        <v>137.12</v>
      </c>
      <c r="R1013">
        <v>24.82</v>
      </c>
      <c r="S1013">
        <v>145.65</v>
      </c>
    </row>
    <row r="1014" spans="1:19" x14ac:dyDescent="0.3">
      <c r="A1014" s="2">
        <v>45341</v>
      </c>
      <c r="B1014">
        <v>65.88</v>
      </c>
      <c r="C1014">
        <v>82.04</v>
      </c>
      <c r="D1014">
        <v>90.98</v>
      </c>
      <c r="E1014">
        <v>93.15</v>
      </c>
      <c r="F1014">
        <v>96.79</v>
      </c>
      <c r="G1014">
        <v>78.11</v>
      </c>
      <c r="H1014">
        <v>83.56</v>
      </c>
      <c r="I1014">
        <v>74.752492970946577</v>
      </c>
      <c r="J1014">
        <v>80.871012183692585</v>
      </c>
      <c r="K1014">
        <v>31.15</v>
      </c>
      <c r="L1014">
        <v>73580.88</v>
      </c>
      <c r="M1014">
        <v>43764.2</v>
      </c>
      <c r="N1014">
        <v>17.62252908067542</v>
      </c>
      <c r="O1014">
        <v>5.2690000000000001E-2</v>
      </c>
      <c r="P1014">
        <v>1.5580000000000001</v>
      </c>
      <c r="Q1014">
        <v>112.7561105904405</v>
      </c>
      <c r="R1014">
        <v>23.6</v>
      </c>
      <c r="S1014">
        <v>145.75</v>
      </c>
    </row>
    <row r="1015" spans="1:19" x14ac:dyDescent="0.3">
      <c r="A1015" s="2">
        <v>45342</v>
      </c>
      <c r="B1015">
        <v>65.88</v>
      </c>
      <c r="C1015">
        <v>82.04</v>
      </c>
      <c r="D1015">
        <v>90.98</v>
      </c>
      <c r="E1015">
        <v>93.15</v>
      </c>
      <c r="F1015">
        <v>96.79</v>
      </c>
      <c r="G1015">
        <v>78.180000000000007</v>
      </c>
      <c r="H1015">
        <v>82.34</v>
      </c>
      <c r="I1015">
        <v>80.78</v>
      </c>
      <c r="J1015">
        <v>102.75</v>
      </c>
      <c r="K1015">
        <v>30.95</v>
      </c>
      <c r="L1015">
        <v>72946.009999999995</v>
      </c>
      <c r="M1015">
        <v>44079.96</v>
      </c>
      <c r="N1015">
        <v>8.3699999999999992</v>
      </c>
      <c r="O1015">
        <v>5.2850000000000001E-2</v>
      </c>
      <c r="P1015">
        <v>1.6459999999999999</v>
      </c>
      <c r="Q1015">
        <v>136.43</v>
      </c>
      <c r="R1015">
        <v>24.17</v>
      </c>
      <c r="S1015">
        <v>146.44999999999999</v>
      </c>
    </row>
    <row r="1016" spans="1:19" x14ac:dyDescent="0.3">
      <c r="A1016" s="2">
        <v>45343</v>
      </c>
      <c r="B1016">
        <v>65.88</v>
      </c>
      <c r="C1016">
        <v>82.04</v>
      </c>
      <c r="D1016">
        <v>90.98</v>
      </c>
      <c r="E1016">
        <v>93.15</v>
      </c>
      <c r="F1016">
        <v>96.79</v>
      </c>
      <c r="G1016">
        <v>77.91</v>
      </c>
      <c r="H1016">
        <v>83.03</v>
      </c>
      <c r="I1016">
        <v>81.02</v>
      </c>
      <c r="J1016">
        <v>104.85</v>
      </c>
      <c r="K1016">
        <v>30.75</v>
      </c>
      <c r="L1016">
        <v>73029.61</v>
      </c>
      <c r="M1016">
        <v>42593.14</v>
      </c>
      <c r="N1016">
        <v>8.2949999999999999</v>
      </c>
      <c r="O1016">
        <v>5.2780000000000001E-2</v>
      </c>
      <c r="P1016">
        <v>1.863</v>
      </c>
      <c r="Q1016">
        <v>136.69</v>
      </c>
      <c r="R1016">
        <v>23.975000000000001</v>
      </c>
      <c r="S1016">
        <v>144.30000000000001</v>
      </c>
    </row>
    <row r="1017" spans="1:19" x14ac:dyDescent="0.3">
      <c r="A1017" s="2">
        <v>45344</v>
      </c>
      <c r="B1017">
        <v>65.88</v>
      </c>
      <c r="C1017">
        <v>82.04</v>
      </c>
      <c r="D1017">
        <v>90.98</v>
      </c>
      <c r="E1017">
        <v>93.15</v>
      </c>
      <c r="F1017">
        <v>96.79</v>
      </c>
      <c r="G1017">
        <v>78.61</v>
      </c>
      <c r="H1017">
        <v>83.67</v>
      </c>
      <c r="I1017">
        <v>81.19</v>
      </c>
      <c r="J1017">
        <v>104.76</v>
      </c>
      <c r="K1017">
        <v>32.299999999999997</v>
      </c>
      <c r="L1017">
        <v>74112.740000000005</v>
      </c>
      <c r="M1017">
        <v>42627.49</v>
      </c>
      <c r="N1017">
        <v>8.1549999999999994</v>
      </c>
      <c r="O1017">
        <v>5.219E-2</v>
      </c>
      <c r="P1017">
        <v>1.8320000000000001</v>
      </c>
      <c r="Q1017">
        <v>139.29</v>
      </c>
      <c r="R1017">
        <v>23.195</v>
      </c>
      <c r="S1017">
        <v>144.85</v>
      </c>
    </row>
    <row r="1018" spans="1:19" x14ac:dyDescent="0.3">
      <c r="A1018" s="2">
        <v>45345</v>
      </c>
      <c r="B1018">
        <v>66.13</v>
      </c>
      <c r="C1018">
        <v>82.13</v>
      </c>
      <c r="D1018">
        <v>91.23</v>
      </c>
      <c r="E1018">
        <v>93.15</v>
      </c>
      <c r="F1018">
        <v>97.82</v>
      </c>
      <c r="G1018">
        <v>76.489999999999995</v>
      </c>
      <c r="H1018">
        <v>81.62</v>
      </c>
      <c r="I1018">
        <v>80.709999999999994</v>
      </c>
      <c r="J1018">
        <v>103.84</v>
      </c>
      <c r="K1018">
        <v>31.6</v>
      </c>
      <c r="L1018">
        <v>74213.39</v>
      </c>
      <c r="M1018">
        <v>42804.28</v>
      </c>
      <c r="N1018">
        <v>8.125</v>
      </c>
      <c r="O1018">
        <v>5.1749999999999997E-2</v>
      </c>
      <c r="P1018">
        <v>1.603</v>
      </c>
      <c r="Q1018">
        <v>138.38</v>
      </c>
      <c r="R1018">
        <v>22.934000000000001</v>
      </c>
      <c r="S1018">
        <v>147</v>
      </c>
    </row>
    <row r="1019" spans="1:19" x14ac:dyDescent="0.3">
      <c r="A1019" s="2">
        <v>45348</v>
      </c>
      <c r="B1019">
        <v>66.13</v>
      </c>
      <c r="C1019">
        <v>82.13</v>
      </c>
      <c r="D1019">
        <v>91.23</v>
      </c>
      <c r="E1019">
        <v>92.42</v>
      </c>
      <c r="F1019">
        <v>97.82</v>
      </c>
      <c r="G1019">
        <v>77.58</v>
      </c>
      <c r="H1019">
        <v>82.53</v>
      </c>
      <c r="I1019">
        <v>80.83</v>
      </c>
      <c r="J1019">
        <v>104.25</v>
      </c>
      <c r="K1019">
        <v>31.2</v>
      </c>
      <c r="L1019">
        <v>73621.240000000005</v>
      </c>
      <c r="M1019">
        <v>42978.79</v>
      </c>
      <c r="N1019">
        <v>8.3000000000000007</v>
      </c>
      <c r="O1019">
        <v>5.1810000000000002E-2</v>
      </c>
      <c r="P1019">
        <v>1.659</v>
      </c>
      <c r="Q1019">
        <v>137.91</v>
      </c>
      <c r="R1019">
        <v>24.01</v>
      </c>
      <c r="S1019">
        <v>147.05000000000001</v>
      </c>
    </row>
    <row r="1020" spans="1:19" x14ac:dyDescent="0.3">
      <c r="A1020" s="2">
        <v>45349</v>
      </c>
      <c r="B1020">
        <v>66.13</v>
      </c>
      <c r="C1020">
        <v>82.13</v>
      </c>
      <c r="D1020">
        <v>91.23</v>
      </c>
      <c r="E1020">
        <v>92.42</v>
      </c>
      <c r="F1020">
        <v>97.82</v>
      </c>
      <c r="G1020">
        <v>78.87</v>
      </c>
      <c r="H1020">
        <v>83.65</v>
      </c>
      <c r="I1020">
        <v>80.930000000000007</v>
      </c>
      <c r="J1020">
        <v>104.03</v>
      </c>
      <c r="K1020">
        <v>31.25</v>
      </c>
      <c r="L1020">
        <v>73142.11</v>
      </c>
      <c r="M1020">
        <v>43097.91</v>
      </c>
      <c r="N1020">
        <v>8.2200000000000006</v>
      </c>
      <c r="O1020">
        <v>5.2350000000000001E-2</v>
      </c>
      <c r="P1020">
        <v>1.615</v>
      </c>
      <c r="Q1020">
        <v>138.63</v>
      </c>
      <c r="R1020">
        <v>24.39</v>
      </c>
      <c r="S1020">
        <v>145.19999999999999</v>
      </c>
    </row>
    <row r="1021" spans="1:19" x14ac:dyDescent="0.3">
      <c r="A1021" s="2">
        <v>45350</v>
      </c>
      <c r="B1021">
        <v>66.13</v>
      </c>
      <c r="C1021">
        <v>82.13</v>
      </c>
      <c r="D1021">
        <v>91.23</v>
      </c>
      <c r="E1021">
        <v>92.42</v>
      </c>
      <c r="F1021">
        <v>97.82</v>
      </c>
      <c r="G1021">
        <v>78.540000000000006</v>
      </c>
      <c r="H1021">
        <v>83.68</v>
      </c>
      <c r="I1021">
        <v>80.86</v>
      </c>
      <c r="J1021">
        <v>104.32</v>
      </c>
      <c r="K1021">
        <v>31.25</v>
      </c>
      <c r="L1021">
        <v>72204.53</v>
      </c>
      <c r="M1021">
        <v>42415.55</v>
      </c>
      <c r="N1021">
        <v>8.4949999999999992</v>
      </c>
      <c r="O1021">
        <v>5.1880000000000003E-2</v>
      </c>
      <c r="P1021">
        <v>1.885</v>
      </c>
      <c r="Q1021">
        <v>138.84</v>
      </c>
      <c r="R1021">
        <v>25.619</v>
      </c>
      <c r="S1021">
        <v>140.9</v>
      </c>
    </row>
    <row r="1022" spans="1:19" x14ac:dyDescent="0.3">
      <c r="A1022" s="2">
        <v>45351</v>
      </c>
      <c r="B1022">
        <v>66.13</v>
      </c>
      <c r="C1022">
        <v>82.13</v>
      </c>
      <c r="D1022">
        <v>91.23</v>
      </c>
      <c r="E1022">
        <v>92.42</v>
      </c>
      <c r="F1022">
        <v>97.82</v>
      </c>
      <c r="G1022">
        <v>78.260000000000005</v>
      </c>
      <c r="H1022">
        <v>83.62</v>
      </c>
      <c r="I1022">
        <v>80.88</v>
      </c>
      <c r="J1022">
        <v>104.52</v>
      </c>
      <c r="K1022">
        <v>30.25</v>
      </c>
      <c r="L1022">
        <v>72729.73</v>
      </c>
      <c r="M1022">
        <v>43808.68</v>
      </c>
      <c r="N1022">
        <v>8.3699999999999992</v>
      </c>
      <c r="O1022">
        <v>5.2060000000000002E-2</v>
      </c>
      <c r="P1022">
        <v>1.86</v>
      </c>
      <c r="Q1022">
        <v>138.41999999999999</v>
      </c>
      <c r="R1022">
        <v>24.864999999999998</v>
      </c>
      <c r="S1022">
        <v>142.15</v>
      </c>
    </row>
    <row r="1023" spans="1:19" x14ac:dyDescent="0.3">
      <c r="A1023" s="2">
        <v>45352</v>
      </c>
      <c r="B1023">
        <v>69.47</v>
      </c>
      <c r="C1023">
        <v>85.62</v>
      </c>
      <c r="D1023">
        <v>95.38</v>
      </c>
      <c r="E1023">
        <v>92.42</v>
      </c>
      <c r="F1023">
        <v>101.32</v>
      </c>
      <c r="G1023">
        <v>79.97</v>
      </c>
      <c r="H1023">
        <v>83.55</v>
      </c>
      <c r="I1023">
        <v>83.07</v>
      </c>
      <c r="J1023">
        <v>105.84</v>
      </c>
      <c r="K1023">
        <v>30.55</v>
      </c>
      <c r="L1023">
        <v>72775.490000000005</v>
      </c>
      <c r="M1023">
        <v>43579.61</v>
      </c>
      <c r="N1023">
        <v>8.3000000000000007</v>
      </c>
      <c r="O1023">
        <v>5.2290000000000003E-2</v>
      </c>
      <c r="P1023">
        <v>1.835</v>
      </c>
      <c r="Q1023">
        <v>138.57</v>
      </c>
      <c r="R1023">
        <v>25.809000000000001</v>
      </c>
      <c r="S1023">
        <v>144.35</v>
      </c>
    </row>
    <row r="1024" spans="1:19" x14ac:dyDescent="0.3">
      <c r="A1024" s="2">
        <v>45355</v>
      </c>
      <c r="B1024">
        <v>69.47</v>
      </c>
      <c r="C1024">
        <v>85.62</v>
      </c>
      <c r="D1024">
        <v>95.38</v>
      </c>
      <c r="E1024">
        <v>94.9</v>
      </c>
      <c r="F1024">
        <v>101.32</v>
      </c>
      <c r="G1024">
        <v>78.739999999999995</v>
      </c>
      <c r="H1024">
        <v>82.8</v>
      </c>
      <c r="I1024">
        <v>82.06</v>
      </c>
      <c r="J1024">
        <v>104.36</v>
      </c>
      <c r="K1024">
        <v>31.25</v>
      </c>
      <c r="L1024">
        <v>72633.149999999994</v>
      </c>
      <c r="M1024">
        <v>44922.06</v>
      </c>
      <c r="N1024">
        <v>8.34</v>
      </c>
      <c r="O1024">
        <v>5.2510000000000001E-2</v>
      </c>
      <c r="P1024">
        <v>1.9159999999999999</v>
      </c>
      <c r="Q1024">
        <v>138.07</v>
      </c>
      <c r="R1024">
        <v>26.885000000000002</v>
      </c>
      <c r="S1024">
        <v>153.55000000000001</v>
      </c>
    </row>
    <row r="1025" spans="1:19" x14ac:dyDescent="0.3">
      <c r="A1025" s="2">
        <v>45356</v>
      </c>
      <c r="B1025">
        <v>69.47</v>
      </c>
      <c r="C1025">
        <v>85.62</v>
      </c>
      <c r="D1025">
        <v>95.38</v>
      </c>
      <c r="E1025">
        <v>94.9</v>
      </c>
      <c r="F1025">
        <v>101.32</v>
      </c>
      <c r="G1025">
        <v>78.150000000000006</v>
      </c>
      <c r="H1025">
        <v>82.04</v>
      </c>
      <c r="I1025">
        <v>81.62</v>
      </c>
      <c r="J1025">
        <v>105.64</v>
      </c>
      <c r="K1025">
        <v>30.8</v>
      </c>
      <c r="L1025">
        <v>72241.72</v>
      </c>
      <c r="M1025">
        <v>46588.77</v>
      </c>
      <c r="N1025">
        <v>8.3800000000000008</v>
      </c>
      <c r="O1025">
        <v>5.2690000000000001E-2</v>
      </c>
      <c r="P1025">
        <v>1.9570000000000001</v>
      </c>
      <c r="Q1025">
        <v>139.41999999999999</v>
      </c>
      <c r="R1025">
        <v>27.47</v>
      </c>
      <c r="S1025">
        <v>149.75</v>
      </c>
    </row>
    <row r="1026" spans="1:19" x14ac:dyDescent="0.3">
      <c r="A1026" s="2">
        <v>45357</v>
      </c>
      <c r="B1026">
        <v>69.47</v>
      </c>
      <c r="C1026">
        <v>85.62</v>
      </c>
      <c r="D1026">
        <v>95.38</v>
      </c>
      <c r="E1026">
        <v>94.9</v>
      </c>
      <c r="F1026">
        <v>101.32</v>
      </c>
      <c r="G1026">
        <v>79.13</v>
      </c>
      <c r="H1026">
        <v>82.96</v>
      </c>
      <c r="I1026">
        <v>82.42</v>
      </c>
      <c r="J1026">
        <v>106.77</v>
      </c>
      <c r="K1026">
        <v>31.2</v>
      </c>
      <c r="L1026">
        <v>73578.179999999993</v>
      </c>
      <c r="M1026">
        <v>47236.11</v>
      </c>
      <c r="N1026">
        <v>8.4149999999999991</v>
      </c>
      <c r="O1026">
        <v>5.3089999999999998E-2</v>
      </c>
      <c r="P1026">
        <v>1.929</v>
      </c>
      <c r="Q1026">
        <v>139.43</v>
      </c>
      <c r="R1026">
        <v>26.57</v>
      </c>
      <c r="S1026">
        <v>147.6</v>
      </c>
    </row>
    <row r="1027" spans="1:19" x14ac:dyDescent="0.3">
      <c r="A1027" s="2">
        <v>45358</v>
      </c>
      <c r="B1027">
        <v>69.47</v>
      </c>
      <c r="C1027">
        <v>85.62</v>
      </c>
      <c r="D1027">
        <v>95.38</v>
      </c>
      <c r="E1027">
        <v>94.9</v>
      </c>
      <c r="F1027">
        <v>101.32</v>
      </c>
      <c r="G1027">
        <v>78.930000000000007</v>
      </c>
      <c r="H1027">
        <v>82.96</v>
      </c>
      <c r="I1027">
        <v>82.44</v>
      </c>
      <c r="J1027">
        <v>107.37</v>
      </c>
      <c r="K1027">
        <v>31.3</v>
      </c>
      <c r="L1027">
        <v>73604.11</v>
      </c>
      <c r="M1027">
        <v>48397.48</v>
      </c>
      <c r="N1027">
        <v>8.4</v>
      </c>
      <c r="O1027">
        <v>5.3510000000000002E-2</v>
      </c>
      <c r="P1027">
        <v>1.8180000000000001</v>
      </c>
      <c r="Q1027">
        <v>138.85</v>
      </c>
      <c r="R1027">
        <v>25.99</v>
      </c>
      <c r="S1027">
        <v>147.85</v>
      </c>
    </row>
    <row r="1028" spans="1:19" x14ac:dyDescent="0.3">
      <c r="A1028" s="2">
        <v>45359</v>
      </c>
      <c r="B1028">
        <v>72.42</v>
      </c>
      <c r="C1028">
        <v>90.49</v>
      </c>
      <c r="D1028">
        <v>101.98</v>
      </c>
      <c r="E1028">
        <v>94.9</v>
      </c>
      <c r="F1028">
        <v>106.86</v>
      </c>
      <c r="G1028">
        <v>78.010000000000005</v>
      </c>
      <c r="H1028">
        <v>82.08</v>
      </c>
      <c r="I1028">
        <v>81.97</v>
      </c>
      <c r="J1028">
        <v>108.38</v>
      </c>
      <c r="K1028">
        <v>31.15</v>
      </c>
      <c r="L1028">
        <v>73717.78</v>
      </c>
      <c r="M1028">
        <v>48876.58</v>
      </c>
      <c r="N1028">
        <v>8.4600000000000009</v>
      </c>
      <c r="O1028">
        <v>5.339E-2</v>
      </c>
      <c r="P1028">
        <v>1.8049999999999999</v>
      </c>
      <c r="Q1028">
        <v>138.66</v>
      </c>
      <c r="R1028">
        <v>26.39</v>
      </c>
      <c r="S1028">
        <v>141.61602674307539</v>
      </c>
    </row>
    <row r="1029" spans="1:19" x14ac:dyDescent="0.3">
      <c r="A1029" s="2">
        <v>45362</v>
      </c>
      <c r="B1029">
        <v>72.42</v>
      </c>
      <c r="C1029">
        <v>90.49</v>
      </c>
      <c r="D1029">
        <v>101.98</v>
      </c>
      <c r="E1029">
        <v>97.24</v>
      </c>
      <c r="F1029">
        <v>106.86</v>
      </c>
      <c r="G1029">
        <v>77.930000000000007</v>
      </c>
      <c r="H1029">
        <v>82.21</v>
      </c>
      <c r="I1029">
        <v>82.28</v>
      </c>
      <c r="J1029">
        <v>109.02</v>
      </c>
      <c r="K1029">
        <v>29.9</v>
      </c>
      <c r="L1029">
        <v>73481.740000000005</v>
      </c>
      <c r="M1029">
        <v>49745.06</v>
      </c>
      <c r="N1029">
        <v>8.4649999999999999</v>
      </c>
      <c r="O1029">
        <v>5.3519999999999998E-2</v>
      </c>
      <c r="P1029">
        <v>1.7589999999999999</v>
      </c>
      <c r="Q1029">
        <v>136.97</v>
      </c>
      <c r="R1029">
        <v>24.93</v>
      </c>
      <c r="S1029">
        <v>143.6</v>
      </c>
    </row>
    <row r="1030" spans="1:19" x14ac:dyDescent="0.3">
      <c r="A1030" s="2">
        <v>45363</v>
      </c>
      <c r="B1030">
        <v>72.42</v>
      </c>
      <c r="C1030">
        <v>90.49</v>
      </c>
      <c r="D1030">
        <v>101.98</v>
      </c>
      <c r="E1030">
        <v>97.24</v>
      </c>
      <c r="F1030">
        <v>106.86</v>
      </c>
      <c r="G1030">
        <v>77.56</v>
      </c>
      <c r="H1030">
        <v>81.92</v>
      </c>
      <c r="I1030">
        <v>82.14</v>
      </c>
      <c r="J1030">
        <v>108.32</v>
      </c>
      <c r="K1030">
        <v>30.25</v>
      </c>
      <c r="L1030">
        <v>73484.56</v>
      </c>
      <c r="M1030">
        <v>48143.13</v>
      </c>
      <c r="N1030">
        <v>8.4649999999999999</v>
      </c>
      <c r="O1030">
        <v>5.3539999999999997E-2</v>
      </c>
      <c r="P1030">
        <v>1.714</v>
      </c>
      <c r="Q1030">
        <v>136.99</v>
      </c>
      <c r="R1030">
        <v>24.774999999999999</v>
      </c>
      <c r="S1030">
        <v>141</v>
      </c>
    </row>
    <row r="1031" spans="1:19" x14ac:dyDescent="0.3">
      <c r="A1031" s="2">
        <v>45364</v>
      </c>
      <c r="B1031">
        <v>72.42</v>
      </c>
      <c r="C1031">
        <v>90.49</v>
      </c>
      <c r="D1031">
        <v>101.98</v>
      </c>
      <c r="E1031">
        <v>97.24</v>
      </c>
      <c r="F1031">
        <v>106.86</v>
      </c>
      <c r="G1031">
        <v>79.72</v>
      </c>
      <c r="H1031">
        <v>84.03</v>
      </c>
      <c r="I1031">
        <v>83.46</v>
      </c>
      <c r="J1031">
        <v>109.53</v>
      </c>
      <c r="K1031">
        <v>30.55</v>
      </c>
      <c r="L1031">
        <v>74258.63</v>
      </c>
      <c r="M1031">
        <v>50364.52</v>
      </c>
      <c r="N1031">
        <v>8.4749999999999996</v>
      </c>
      <c r="O1031">
        <v>5.3830000000000003E-2</v>
      </c>
      <c r="P1031">
        <v>1.6579999999999999</v>
      </c>
      <c r="Q1031">
        <v>137.47</v>
      </c>
      <c r="R1031">
        <v>24.905000000000001</v>
      </c>
      <c r="S1031">
        <v>133.1</v>
      </c>
    </row>
    <row r="1032" spans="1:19" x14ac:dyDescent="0.3">
      <c r="A1032" s="2">
        <v>45365</v>
      </c>
      <c r="B1032">
        <v>72.42</v>
      </c>
      <c r="C1032">
        <v>90.49</v>
      </c>
      <c r="D1032">
        <v>101.98</v>
      </c>
      <c r="E1032">
        <v>97.24</v>
      </c>
      <c r="F1032">
        <v>106.86</v>
      </c>
      <c r="G1032">
        <v>81.260000000000005</v>
      </c>
      <c r="H1032">
        <v>85.42</v>
      </c>
      <c r="I1032">
        <v>83.9</v>
      </c>
      <c r="J1032">
        <v>111.47</v>
      </c>
      <c r="K1032">
        <v>30.6</v>
      </c>
      <c r="L1032">
        <v>73866.789999999994</v>
      </c>
      <c r="M1032">
        <v>49574.45</v>
      </c>
      <c r="N1032">
        <v>8.49</v>
      </c>
      <c r="O1032">
        <v>5.3370000000000001E-2</v>
      </c>
      <c r="P1032">
        <v>1.7410000000000001</v>
      </c>
      <c r="Q1032">
        <v>135.44999999999999</v>
      </c>
      <c r="R1032">
        <v>26.05</v>
      </c>
      <c r="S1032">
        <v>137.19999999999999</v>
      </c>
    </row>
    <row r="1033" spans="1:19" x14ac:dyDescent="0.3">
      <c r="A1033" s="2">
        <v>45366</v>
      </c>
      <c r="B1033">
        <v>70.930000000000007</v>
      </c>
      <c r="C1033">
        <v>89.59</v>
      </c>
      <c r="D1033">
        <v>99.84</v>
      </c>
      <c r="E1033">
        <v>97.24</v>
      </c>
      <c r="F1033">
        <v>107.45</v>
      </c>
      <c r="G1033">
        <v>81.040000000000006</v>
      </c>
      <c r="H1033">
        <v>85.34</v>
      </c>
      <c r="I1033">
        <v>83.82</v>
      </c>
      <c r="J1033">
        <v>111.27</v>
      </c>
      <c r="K1033">
        <v>30.05</v>
      </c>
      <c r="L1033">
        <v>72990.7</v>
      </c>
      <c r="M1033">
        <v>48961.88</v>
      </c>
      <c r="N1033">
        <v>8.5210000000000008</v>
      </c>
      <c r="O1033">
        <v>5.3330000000000002E-2</v>
      </c>
      <c r="P1033">
        <v>1.655</v>
      </c>
      <c r="Q1033">
        <v>134.63999999999999</v>
      </c>
      <c r="R1033">
        <v>27.026</v>
      </c>
      <c r="S1033">
        <v>136.85</v>
      </c>
    </row>
    <row r="1034" spans="1:19" x14ac:dyDescent="0.3">
      <c r="A1034" s="2">
        <v>45369</v>
      </c>
      <c r="B1034">
        <v>70.930000000000007</v>
      </c>
      <c r="C1034">
        <v>89.59</v>
      </c>
      <c r="D1034">
        <v>99.84</v>
      </c>
      <c r="E1034">
        <v>100.64</v>
      </c>
      <c r="F1034">
        <v>107.45</v>
      </c>
      <c r="G1034">
        <v>82.72</v>
      </c>
      <c r="H1034">
        <v>86.89</v>
      </c>
      <c r="I1034">
        <v>84.47</v>
      </c>
      <c r="J1034">
        <v>112.3</v>
      </c>
      <c r="K1034">
        <v>29.5</v>
      </c>
      <c r="L1034">
        <v>72430.460000000006</v>
      </c>
      <c r="M1034">
        <v>47418.96</v>
      </c>
      <c r="N1034">
        <v>9.8800000000000008</v>
      </c>
      <c r="O1034">
        <v>5.2769999999999997E-2</v>
      </c>
      <c r="P1034">
        <v>1.7030000000000001</v>
      </c>
      <c r="Q1034">
        <v>134.4</v>
      </c>
      <c r="R1034">
        <v>28.82</v>
      </c>
      <c r="S1034">
        <v>136.44999999999999</v>
      </c>
    </row>
    <row r="1035" spans="1:19" x14ac:dyDescent="0.3">
      <c r="A1035" s="2">
        <v>45370</v>
      </c>
      <c r="B1035">
        <v>70.930000000000007</v>
      </c>
      <c r="C1035">
        <v>89.59</v>
      </c>
      <c r="D1035">
        <v>99.84</v>
      </c>
      <c r="E1035">
        <v>100.64</v>
      </c>
      <c r="F1035">
        <v>107.45</v>
      </c>
      <c r="G1035">
        <v>83.47</v>
      </c>
      <c r="H1035">
        <v>87.38</v>
      </c>
      <c r="I1035">
        <v>84.62</v>
      </c>
      <c r="J1035">
        <v>113.09</v>
      </c>
      <c r="K1035">
        <v>29.75</v>
      </c>
      <c r="L1035">
        <v>71868.070000000007</v>
      </c>
      <c r="M1035">
        <v>46154.21</v>
      </c>
      <c r="N1035">
        <v>9.9</v>
      </c>
      <c r="O1035">
        <v>5.2880000000000003E-2</v>
      </c>
      <c r="P1035">
        <v>1.744</v>
      </c>
      <c r="Q1035">
        <v>135.5</v>
      </c>
      <c r="R1035">
        <v>28.864999999999998</v>
      </c>
      <c r="S1035">
        <v>134.5</v>
      </c>
    </row>
    <row r="1036" spans="1:19" x14ac:dyDescent="0.3">
      <c r="A1036" s="2">
        <v>45371</v>
      </c>
      <c r="B1036">
        <v>70.930000000000007</v>
      </c>
      <c r="C1036">
        <v>89.59</v>
      </c>
      <c r="D1036">
        <v>99.84</v>
      </c>
      <c r="E1036">
        <v>100.64</v>
      </c>
      <c r="F1036">
        <v>107.45</v>
      </c>
      <c r="G1036">
        <v>81.680000000000007</v>
      </c>
      <c r="H1036">
        <v>85.95</v>
      </c>
      <c r="I1036">
        <v>84.15</v>
      </c>
      <c r="J1036">
        <v>112.99</v>
      </c>
      <c r="K1036">
        <v>29.6</v>
      </c>
      <c r="L1036">
        <v>72419.7</v>
      </c>
      <c r="M1036">
        <v>47701.43</v>
      </c>
      <c r="N1036">
        <v>9.57</v>
      </c>
      <c r="O1036">
        <v>5.3440000000000001E-2</v>
      </c>
      <c r="P1036">
        <v>1.6990000000000001</v>
      </c>
      <c r="Q1036">
        <v>136.1</v>
      </c>
      <c r="R1036">
        <v>27.74</v>
      </c>
      <c r="S1036">
        <v>133.75</v>
      </c>
    </row>
    <row r="1037" spans="1:19" x14ac:dyDescent="0.3">
      <c r="A1037" s="2">
        <v>45372</v>
      </c>
      <c r="B1037">
        <v>70.930000000000007</v>
      </c>
      <c r="C1037">
        <v>89.59</v>
      </c>
      <c r="D1037">
        <v>99.84</v>
      </c>
      <c r="E1037">
        <v>100.64</v>
      </c>
      <c r="F1037">
        <v>107.45</v>
      </c>
      <c r="G1037">
        <v>81.069999999999993</v>
      </c>
      <c r="H1037">
        <v>85.78</v>
      </c>
      <c r="I1037">
        <v>84.14</v>
      </c>
      <c r="J1037">
        <v>113.49</v>
      </c>
      <c r="K1037">
        <v>30.65</v>
      </c>
      <c r="L1037">
        <v>68736.904810964072</v>
      </c>
      <c r="M1037">
        <v>52972.178374291107</v>
      </c>
      <c r="N1037">
        <v>9.2850000000000001</v>
      </c>
      <c r="O1037">
        <v>5.3120000000000001E-2</v>
      </c>
      <c r="P1037">
        <v>1.6830000000000001</v>
      </c>
      <c r="Q1037">
        <v>138.1</v>
      </c>
      <c r="R1037">
        <v>26.4</v>
      </c>
      <c r="S1037">
        <v>135.94999999999999</v>
      </c>
    </row>
    <row r="1038" spans="1:19" x14ac:dyDescent="0.3">
      <c r="A1038" s="2">
        <v>45373</v>
      </c>
      <c r="B1038">
        <v>70.16</v>
      </c>
      <c r="C1038">
        <v>89.59</v>
      </c>
      <c r="D1038">
        <v>99.51</v>
      </c>
      <c r="E1038">
        <v>100.91</v>
      </c>
      <c r="F1038">
        <v>105.39</v>
      </c>
      <c r="G1038">
        <v>80.63</v>
      </c>
      <c r="H1038">
        <v>85.43</v>
      </c>
      <c r="I1038">
        <v>84.03</v>
      </c>
      <c r="J1038">
        <v>113.49</v>
      </c>
      <c r="K1038">
        <v>30.1</v>
      </c>
      <c r="L1038">
        <v>73254.19</v>
      </c>
      <c r="M1038">
        <v>50298.41</v>
      </c>
      <c r="N1038">
        <v>9.4450000000000003</v>
      </c>
      <c r="O1038">
        <v>5.2630000000000003E-2</v>
      </c>
      <c r="P1038">
        <v>1.659</v>
      </c>
      <c r="Q1038">
        <v>136.22999999999999</v>
      </c>
      <c r="R1038">
        <v>27.776</v>
      </c>
      <c r="S1038">
        <v>135.85</v>
      </c>
    </row>
    <row r="1039" spans="1:19" x14ac:dyDescent="0.3">
      <c r="A1039" s="2">
        <v>45376</v>
      </c>
      <c r="B1039">
        <v>70.16</v>
      </c>
      <c r="C1039">
        <v>89.59</v>
      </c>
      <c r="D1039">
        <v>99.51</v>
      </c>
      <c r="E1039">
        <v>100.91</v>
      </c>
      <c r="F1039">
        <v>105.39</v>
      </c>
      <c r="G1039">
        <v>81.95</v>
      </c>
      <c r="H1039">
        <v>86.75</v>
      </c>
      <c r="I1039">
        <v>84.23</v>
      </c>
      <c r="J1039">
        <v>114.65</v>
      </c>
      <c r="K1039">
        <v>30.5</v>
      </c>
      <c r="L1039">
        <v>73282.899999999994</v>
      </c>
      <c r="M1039">
        <v>50676</v>
      </c>
      <c r="N1039">
        <v>9.7149999999999999</v>
      </c>
      <c r="O1039">
        <v>5.2940000000000001E-2</v>
      </c>
      <c r="P1039">
        <v>1.615</v>
      </c>
      <c r="Q1039">
        <v>135.81</v>
      </c>
      <c r="R1039">
        <v>28.49</v>
      </c>
      <c r="S1039">
        <v>141.61602674307539</v>
      </c>
    </row>
    <row r="1040" spans="1:19" x14ac:dyDescent="0.3">
      <c r="A1040" s="2">
        <v>45377</v>
      </c>
      <c r="B1040">
        <v>70.16</v>
      </c>
      <c r="C1040">
        <v>89.59</v>
      </c>
      <c r="D1040">
        <v>99.51</v>
      </c>
      <c r="E1040">
        <v>100.91</v>
      </c>
      <c r="F1040">
        <v>105.39</v>
      </c>
      <c r="G1040">
        <v>81.62</v>
      </c>
      <c r="H1040">
        <v>86.25</v>
      </c>
      <c r="I1040">
        <v>84.14</v>
      </c>
      <c r="J1040">
        <v>113.79</v>
      </c>
      <c r="K1040">
        <v>30.2</v>
      </c>
      <c r="L1040">
        <v>73608.070000000007</v>
      </c>
      <c r="M1040">
        <v>50569.760000000002</v>
      </c>
      <c r="N1040">
        <v>9.5749999999999993</v>
      </c>
      <c r="O1040">
        <v>5.2740000000000002E-2</v>
      </c>
      <c r="P1040">
        <v>1.575</v>
      </c>
      <c r="Q1040">
        <v>137.12</v>
      </c>
      <c r="R1040">
        <v>27.13</v>
      </c>
      <c r="S1040">
        <v>134.05000000000001</v>
      </c>
    </row>
    <row r="1041" spans="1:19" x14ac:dyDescent="0.3">
      <c r="A1041" s="2">
        <v>45378</v>
      </c>
      <c r="B1041">
        <v>70.16</v>
      </c>
      <c r="C1041">
        <v>89.59</v>
      </c>
      <c r="D1041">
        <v>99.51</v>
      </c>
      <c r="E1041">
        <v>100.91</v>
      </c>
      <c r="F1041">
        <v>105.39</v>
      </c>
      <c r="G1041">
        <v>81.349999999999994</v>
      </c>
      <c r="H1041">
        <v>86.09</v>
      </c>
      <c r="I1041">
        <v>84.11</v>
      </c>
      <c r="J1041">
        <v>114.97</v>
      </c>
      <c r="K1041">
        <v>30.4</v>
      </c>
      <c r="L1041">
        <v>73909.47</v>
      </c>
      <c r="M1041">
        <v>50407.9</v>
      </c>
      <c r="N1041">
        <v>9.4</v>
      </c>
      <c r="O1041">
        <v>5.2850000000000001E-2</v>
      </c>
      <c r="P1041">
        <v>1.718</v>
      </c>
      <c r="Q1041">
        <v>136.97999999999999</v>
      </c>
      <c r="R1041">
        <v>27.687000000000001</v>
      </c>
      <c r="S1041">
        <v>133.55000000000001</v>
      </c>
    </row>
    <row r="1042" spans="1:19" x14ac:dyDescent="0.3">
      <c r="A1042" s="2">
        <v>45379</v>
      </c>
      <c r="B1042">
        <v>73.17</v>
      </c>
      <c r="C1042">
        <v>91.01</v>
      </c>
      <c r="D1042">
        <v>102.58</v>
      </c>
      <c r="E1042">
        <v>100.91</v>
      </c>
      <c r="F1042">
        <v>105.67</v>
      </c>
      <c r="G1042">
        <v>83.17</v>
      </c>
      <c r="H1042">
        <v>87.48</v>
      </c>
      <c r="I1042">
        <v>84.15</v>
      </c>
      <c r="J1042">
        <v>116.24</v>
      </c>
      <c r="K1042">
        <v>30.75</v>
      </c>
      <c r="L1042">
        <v>74535.990000000005</v>
      </c>
      <c r="M1042">
        <v>51964.11</v>
      </c>
      <c r="N1042">
        <v>9.5350000000000001</v>
      </c>
      <c r="O1042">
        <v>5.28E-2</v>
      </c>
      <c r="P1042">
        <v>1.7629999999999999</v>
      </c>
      <c r="Q1042">
        <v>137.43</v>
      </c>
      <c r="R1042">
        <v>27.34</v>
      </c>
      <c r="S1042">
        <v>134.35</v>
      </c>
    </row>
    <row r="1043" spans="1:19" x14ac:dyDescent="0.3">
      <c r="A1043" s="2">
        <v>45380</v>
      </c>
      <c r="B1043">
        <v>87.953183520599239</v>
      </c>
      <c r="C1043">
        <v>113.3531554307116</v>
      </c>
      <c r="D1043">
        <v>134.97180711610491</v>
      </c>
      <c r="E1043">
        <v>144.35149446494461</v>
      </c>
      <c r="F1043">
        <v>123.75970973782771</v>
      </c>
      <c r="G1043">
        <v>72.345468607825296</v>
      </c>
      <c r="H1043">
        <v>76.283020072992699</v>
      </c>
      <c r="I1043">
        <v>74.752492970946577</v>
      </c>
      <c r="J1043">
        <v>80.871012183692585</v>
      </c>
      <c r="K1043">
        <v>21.274702495201531</v>
      </c>
      <c r="L1043">
        <v>68736.904810964072</v>
      </c>
      <c r="M1043">
        <v>52972.178374291107</v>
      </c>
      <c r="N1043">
        <v>17.62252908067542</v>
      </c>
      <c r="O1043">
        <v>5.296E-2</v>
      </c>
      <c r="P1043">
        <v>3.697999090081892</v>
      </c>
      <c r="Q1043">
        <v>112.7561105904405</v>
      </c>
      <c r="R1043">
        <v>57.384855947955387</v>
      </c>
      <c r="S1043">
        <v>141.61602674307539</v>
      </c>
    </row>
    <row r="1044" spans="1:19" x14ac:dyDescent="0.3">
      <c r="A1044" s="2">
        <v>45383</v>
      </c>
      <c r="B1044">
        <v>87.953183520599239</v>
      </c>
      <c r="C1044">
        <v>113.3531554307116</v>
      </c>
      <c r="D1044">
        <v>134.97180711610491</v>
      </c>
      <c r="E1044">
        <v>144.35149446494461</v>
      </c>
      <c r="F1044">
        <v>123.75970973782771</v>
      </c>
      <c r="G1044">
        <v>83.71</v>
      </c>
      <c r="H1044">
        <v>87.42</v>
      </c>
      <c r="I1044">
        <v>87.77</v>
      </c>
      <c r="J1044">
        <v>116.99</v>
      </c>
      <c r="K1044">
        <v>21.274702495201531</v>
      </c>
      <c r="L1044">
        <v>68736.904810964072</v>
      </c>
      <c r="M1044">
        <v>52972.178374291107</v>
      </c>
      <c r="N1044">
        <v>9.5350000000000001</v>
      </c>
      <c r="O1044">
        <v>5.2780000000000001E-2</v>
      </c>
      <c r="P1044">
        <v>2.0739999999999998</v>
      </c>
      <c r="Q1044">
        <v>137.03</v>
      </c>
      <c r="R1044">
        <v>27.34</v>
      </c>
      <c r="S1044">
        <v>140.30000000000001</v>
      </c>
    </row>
    <row r="1045" spans="1:19" x14ac:dyDescent="0.3">
      <c r="A1045" s="2">
        <v>45384</v>
      </c>
      <c r="B1045">
        <v>73.17</v>
      </c>
      <c r="C1045">
        <v>91.01</v>
      </c>
      <c r="D1045">
        <v>102.58</v>
      </c>
      <c r="E1045">
        <v>102.51</v>
      </c>
      <c r="F1045">
        <v>105.67</v>
      </c>
      <c r="G1045">
        <v>85.15</v>
      </c>
      <c r="H1045">
        <v>88.92</v>
      </c>
      <c r="I1045">
        <v>89.24</v>
      </c>
      <c r="J1045">
        <v>119.28</v>
      </c>
      <c r="K1045">
        <v>31.6</v>
      </c>
      <c r="L1045">
        <v>74429.48</v>
      </c>
      <c r="M1045">
        <v>52831.44</v>
      </c>
      <c r="N1045">
        <v>9.4649999999999999</v>
      </c>
      <c r="O1045">
        <v>5.3260000000000002E-2</v>
      </c>
      <c r="P1045">
        <v>2.105</v>
      </c>
      <c r="Q1045">
        <v>137.5</v>
      </c>
      <c r="R1045">
        <v>26.204999999999998</v>
      </c>
      <c r="S1045">
        <v>142.4</v>
      </c>
    </row>
    <row r="1046" spans="1:19" x14ac:dyDescent="0.3">
      <c r="A1046" s="2">
        <v>45385</v>
      </c>
      <c r="B1046">
        <v>73.17</v>
      </c>
      <c r="C1046">
        <v>91.01</v>
      </c>
      <c r="D1046">
        <v>102.58</v>
      </c>
      <c r="E1046">
        <v>102.51</v>
      </c>
      <c r="F1046">
        <v>105.67</v>
      </c>
      <c r="G1046">
        <v>85.43</v>
      </c>
      <c r="H1046">
        <v>89.35</v>
      </c>
      <c r="I1046">
        <v>89.63</v>
      </c>
      <c r="J1046">
        <v>119.3</v>
      </c>
      <c r="K1046">
        <v>31.6</v>
      </c>
      <c r="L1046">
        <v>74097.929999999993</v>
      </c>
      <c r="M1046">
        <v>53079.49</v>
      </c>
      <c r="N1046">
        <v>9.5</v>
      </c>
      <c r="O1046">
        <v>5.3539999999999997E-2</v>
      </c>
      <c r="P1046">
        <v>2.0670000000000002</v>
      </c>
      <c r="Q1046">
        <v>137.38999999999999</v>
      </c>
      <c r="R1046">
        <v>25.565000000000001</v>
      </c>
      <c r="S1046">
        <v>143.85</v>
      </c>
    </row>
    <row r="1047" spans="1:19" x14ac:dyDescent="0.3">
      <c r="A1047" s="2">
        <v>45386</v>
      </c>
      <c r="B1047">
        <v>73.17</v>
      </c>
      <c r="C1047">
        <v>91.01</v>
      </c>
      <c r="D1047">
        <v>102.58</v>
      </c>
      <c r="E1047">
        <v>102.51</v>
      </c>
      <c r="F1047">
        <v>105.67</v>
      </c>
      <c r="G1047">
        <v>86.59</v>
      </c>
      <c r="H1047">
        <v>90.65</v>
      </c>
      <c r="I1047">
        <v>90.53</v>
      </c>
      <c r="J1047">
        <v>119.72</v>
      </c>
      <c r="K1047">
        <v>21.274702495201531</v>
      </c>
      <c r="L1047">
        <v>75372.98</v>
      </c>
      <c r="M1047">
        <v>55374.71</v>
      </c>
      <c r="N1047">
        <v>9.5449999999999999</v>
      </c>
      <c r="O1047">
        <v>5.3420000000000002E-2</v>
      </c>
      <c r="P1047">
        <v>1.9970000000000001</v>
      </c>
      <c r="Q1047">
        <v>136.69999999999999</v>
      </c>
      <c r="R1047">
        <v>26.204999999999998</v>
      </c>
      <c r="S1047">
        <v>144.80000000000001</v>
      </c>
    </row>
    <row r="1048" spans="1:19" x14ac:dyDescent="0.3">
      <c r="A1048" s="2">
        <v>45387</v>
      </c>
      <c r="B1048">
        <v>75.430000000000007</v>
      </c>
      <c r="C1048">
        <v>93</v>
      </c>
      <c r="D1048">
        <v>103.63</v>
      </c>
      <c r="E1048">
        <v>102.51</v>
      </c>
      <c r="F1048">
        <v>105.16</v>
      </c>
      <c r="G1048">
        <v>86.91</v>
      </c>
      <c r="H1048">
        <v>91.17</v>
      </c>
      <c r="I1048">
        <v>90.74</v>
      </c>
      <c r="J1048">
        <v>121.37</v>
      </c>
      <c r="K1048">
        <v>31.35</v>
      </c>
      <c r="L1048">
        <v>74774.720000000001</v>
      </c>
      <c r="M1048">
        <v>54937.99</v>
      </c>
      <c r="N1048">
        <v>9.5449999999999999</v>
      </c>
      <c r="O1048">
        <v>5.3530000000000001E-2</v>
      </c>
      <c r="P1048">
        <v>2.0099999999999998</v>
      </c>
      <c r="Q1048">
        <v>137.87</v>
      </c>
      <c r="R1048">
        <v>26.605</v>
      </c>
      <c r="S1048">
        <v>145.44999999999999</v>
      </c>
    </row>
    <row r="1049" spans="1:19" x14ac:dyDescent="0.3">
      <c r="A1049" s="2">
        <v>45390</v>
      </c>
      <c r="B1049">
        <v>75.430000000000007</v>
      </c>
      <c r="C1049">
        <v>93</v>
      </c>
      <c r="D1049">
        <v>103.63</v>
      </c>
      <c r="E1049">
        <v>106.93</v>
      </c>
      <c r="F1049">
        <v>105.16</v>
      </c>
      <c r="G1049">
        <v>86.43</v>
      </c>
      <c r="H1049">
        <v>90.38</v>
      </c>
      <c r="I1049">
        <v>90.02</v>
      </c>
      <c r="J1049">
        <v>120.55</v>
      </c>
      <c r="K1049">
        <v>31.9</v>
      </c>
      <c r="L1049">
        <v>75334.92</v>
      </c>
      <c r="M1049">
        <v>56513.61</v>
      </c>
      <c r="N1049">
        <v>9.5749999999999993</v>
      </c>
      <c r="O1049">
        <v>5.364E-2</v>
      </c>
      <c r="P1049">
        <v>2.0510000000000002</v>
      </c>
      <c r="Q1049">
        <v>136.88</v>
      </c>
      <c r="R1049">
        <v>27.91</v>
      </c>
      <c r="S1049">
        <v>145.5</v>
      </c>
    </row>
    <row r="1050" spans="1:19" x14ac:dyDescent="0.3">
      <c r="A1050" s="2">
        <v>45391</v>
      </c>
      <c r="B1050">
        <v>75.430000000000007</v>
      </c>
      <c r="C1050">
        <v>93</v>
      </c>
      <c r="D1050">
        <v>103.63</v>
      </c>
      <c r="E1050">
        <v>106.93</v>
      </c>
      <c r="F1050">
        <v>105.16</v>
      </c>
      <c r="G1050">
        <v>85.23</v>
      </c>
      <c r="H1050">
        <v>89.42</v>
      </c>
      <c r="I1050">
        <v>89.43</v>
      </c>
      <c r="J1050">
        <v>121.18</v>
      </c>
      <c r="K1050">
        <v>31.85</v>
      </c>
      <c r="L1050">
        <v>75486.92</v>
      </c>
      <c r="M1050">
        <v>57249.65</v>
      </c>
      <c r="N1050">
        <v>9.5850000000000009</v>
      </c>
      <c r="O1050">
        <v>5.416E-2</v>
      </c>
      <c r="P1050">
        <v>2.0640000000000001</v>
      </c>
      <c r="Q1050">
        <v>135.06</v>
      </c>
      <c r="R1050">
        <v>27.35</v>
      </c>
      <c r="S1050">
        <v>147.94999999999999</v>
      </c>
    </row>
    <row r="1051" spans="1:19" x14ac:dyDescent="0.3">
      <c r="A1051" s="2">
        <v>45392</v>
      </c>
      <c r="B1051">
        <v>75.430000000000007</v>
      </c>
      <c r="C1051">
        <v>93</v>
      </c>
      <c r="D1051">
        <v>103.63</v>
      </c>
      <c r="E1051">
        <v>106.93</v>
      </c>
      <c r="F1051">
        <v>105.16</v>
      </c>
      <c r="G1051">
        <v>86.21</v>
      </c>
      <c r="H1051">
        <v>90.48</v>
      </c>
      <c r="I1051">
        <v>90.13</v>
      </c>
      <c r="J1051">
        <v>122.2</v>
      </c>
      <c r="K1051">
        <v>32.6</v>
      </c>
      <c r="L1051">
        <v>75520.37</v>
      </c>
      <c r="M1051">
        <v>56819.96</v>
      </c>
      <c r="N1051">
        <v>9.5850000000000009</v>
      </c>
      <c r="O1051">
        <v>5.3249999999999999E-2</v>
      </c>
      <c r="P1051">
        <v>2.0739999999999998</v>
      </c>
      <c r="Q1051">
        <v>132.94</v>
      </c>
      <c r="R1051">
        <v>27.1</v>
      </c>
      <c r="S1051">
        <v>150.44999999999999</v>
      </c>
    </row>
    <row r="1052" spans="1:19" x14ac:dyDescent="0.3">
      <c r="A1052" s="2">
        <v>45393</v>
      </c>
      <c r="B1052">
        <v>75.430000000000007</v>
      </c>
      <c r="C1052">
        <v>93</v>
      </c>
      <c r="D1052">
        <v>103.63</v>
      </c>
      <c r="E1052">
        <v>106.93</v>
      </c>
      <c r="F1052">
        <v>105.16</v>
      </c>
      <c r="G1052">
        <v>85.02</v>
      </c>
      <c r="H1052">
        <v>89.74</v>
      </c>
      <c r="I1052">
        <v>89.79</v>
      </c>
      <c r="J1052">
        <v>121.79</v>
      </c>
      <c r="K1052">
        <v>32.9</v>
      </c>
      <c r="L1052">
        <v>75303.25</v>
      </c>
      <c r="M1052">
        <v>57350.080000000002</v>
      </c>
      <c r="N1052">
        <v>9.61</v>
      </c>
      <c r="O1052">
        <v>5.3370000000000001E-2</v>
      </c>
      <c r="P1052">
        <v>2</v>
      </c>
      <c r="Q1052">
        <v>133.47999999999999</v>
      </c>
      <c r="R1052">
        <v>29.375</v>
      </c>
      <c r="S1052">
        <v>141.61602674307539</v>
      </c>
    </row>
    <row r="1053" spans="1:19" x14ac:dyDescent="0.3">
      <c r="A1053" s="2">
        <v>45394</v>
      </c>
      <c r="B1053">
        <v>72.41</v>
      </c>
      <c r="C1053">
        <v>92.75</v>
      </c>
      <c r="D1053">
        <v>104.42</v>
      </c>
      <c r="E1053">
        <v>106.93</v>
      </c>
      <c r="F1053">
        <v>106.36</v>
      </c>
      <c r="G1053">
        <v>85.66</v>
      </c>
      <c r="H1053">
        <v>90.45</v>
      </c>
      <c r="I1053">
        <v>90.22</v>
      </c>
      <c r="J1053">
        <v>120.37</v>
      </c>
      <c r="K1053">
        <v>32.299999999999997</v>
      </c>
      <c r="L1053">
        <v>75311.759999999995</v>
      </c>
      <c r="M1053">
        <v>62086.95</v>
      </c>
      <c r="N1053">
        <v>9.6449999999999996</v>
      </c>
      <c r="O1053">
        <v>5.2999999999999999E-2</v>
      </c>
      <c r="P1053">
        <v>2.0289999999999999</v>
      </c>
      <c r="Q1053">
        <v>133.55000000000001</v>
      </c>
      <c r="R1053">
        <v>30.731999999999999</v>
      </c>
      <c r="S1053">
        <v>151.85</v>
      </c>
    </row>
    <row r="1054" spans="1:19" x14ac:dyDescent="0.3">
      <c r="A1054" s="2">
        <v>45397</v>
      </c>
      <c r="B1054">
        <v>72.41</v>
      </c>
      <c r="C1054">
        <v>92.75</v>
      </c>
      <c r="D1054">
        <v>104.42</v>
      </c>
      <c r="E1054">
        <v>110.95</v>
      </c>
      <c r="F1054">
        <v>106.36</v>
      </c>
      <c r="G1054">
        <v>85.41</v>
      </c>
      <c r="H1054">
        <v>90.1</v>
      </c>
      <c r="I1054">
        <v>89.96</v>
      </c>
      <c r="J1054">
        <v>119.68</v>
      </c>
      <c r="K1054">
        <v>32.700000000000003</v>
      </c>
      <c r="L1054">
        <v>74518.63</v>
      </c>
      <c r="M1054">
        <v>59131.13</v>
      </c>
      <c r="N1054">
        <v>9.6869999999999994</v>
      </c>
      <c r="O1054">
        <v>5.2630000000000003E-2</v>
      </c>
      <c r="P1054">
        <v>1.6910000000000001</v>
      </c>
      <c r="Q1054">
        <v>130.54</v>
      </c>
      <c r="R1054">
        <v>31.145</v>
      </c>
      <c r="S1054">
        <v>146.5</v>
      </c>
    </row>
    <row r="1055" spans="1:19" x14ac:dyDescent="0.3">
      <c r="A1055" s="2">
        <v>45398</v>
      </c>
      <c r="B1055">
        <v>72.41</v>
      </c>
      <c r="C1055">
        <v>92.75</v>
      </c>
      <c r="D1055">
        <v>104.42</v>
      </c>
      <c r="E1055">
        <v>110.95</v>
      </c>
      <c r="F1055">
        <v>106.36</v>
      </c>
      <c r="G1055">
        <v>85.36</v>
      </c>
      <c r="H1055">
        <v>90.02</v>
      </c>
      <c r="I1055">
        <v>89.91</v>
      </c>
      <c r="J1055">
        <v>118.69</v>
      </c>
      <c r="K1055">
        <v>32.75</v>
      </c>
      <c r="L1055">
        <v>72999.600000000006</v>
      </c>
      <c r="M1055">
        <v>57148.23</v>
      </c>
      <c r="N1055">
        <v>11.26</v>
      </c>
      <c r="O1055">
        <v>5.246E-2</v>
      </c>
      <c r="P1055">
        <v>1.732</v>
      </c>
      <c r="Q1055">
        <v>129.9</v>
      </c>
      <c r="R1055">
        <v>33.14</v>
      </c>
      <c r="S1055">
        <v>148.19999999999999</v>
      </c>
    </row>
    <row r="1056" spans="1:19" x14ac:dyDescent="0.3">
      <c r="A1056" s="2">
        <v>45399</v>
      </c>
      <c r="B1056">
        <v>72.41</v>
      </c>
      <c r="C1056">
        <v>92.75</v>
      </c>
      <c r="D1056">
        <v>104.42</v>
      </c>
      <c r="E1056">
        <v>110.95</v>
      </c>
      <c r="F1056">
        <v>106.36</v>
      </c>
      <c r="G1056">
        <v>82.69</v>
      </c>
      <c r="H1056">
        <v>87.29</v>
      </c>
      <c r="I1056">
        <v>88.84</v>
      </c>
      <c r="J1056">
        <v>118.63</v>
      </c>
      <c r="K1056">
        <v>32.6</v>
      </c>
      <c r="L1056">
        <v>72995.179999999993</v>
      </c>
      <c r="M1056">
        <v>58769.31</v>
      </c>
      <c r="N1056">
        <v>10.744999999999999</v>
      </c>
      <c r="O1056">
        <v>5.2510000000000001E-2</v>
      </c>
      <c r="P1056">
        <v>1.712</v>
      </c>
      <c r="Q1056">
        <v>130.74</v>
      </c>
      <c r="R1056">
        <v>31.29</v>
      </c>
      <c r="S1056">
        <v>141.61602674307539</v>
      </c>
    </row>
    <row r="1057" spans="1:19" x14ac:dyDescent="0.3">
      <c r="A1057" s="2">
        <v>45400</v>
      </c>
      <c r="B1057">
        <v>72.41</v>
      </c>
      <c r="C1057">
        <v>92.75</v>
      </c>
      <c r="D1057">
        <v>104.42</v>
      </c>
      <c r="E1057">
        <v>110.95</v>
      </c>
      <c r="F1057">
        <v>106.36</v>
      </c>
      <c r="G1057">
        <v>82.73</v>
      </c>
      <c r="H1057">
        <v>87.11</v>
      </c>
      <c r="I1057">
        <v>88.81</v>
      </c>
      <c r="J1057">
        <v>118.52</v>
      </c>
      <c r="K1057">
        <v>32.700000000000003</v>
      </c>
      <c r="L1057">
        <v>73271.429999999993</v>
      </c>
      <c r="M1057">
        <v>58326.14</v>
      </c>
      <c r="N1057">
        <v>10.88</v>
      </c>
      <c r="O1057">
        <v>5.2200000000000003E-2</v>
      </c>
      <c r="P1057">
        <v>1.7569999999999999</v>
      </c>
      <c r="Q1057">
        <v>130.97999999999999</v>
      </c>
      <c r="R1057">
        <v>32.31</v>
      </c>
      <c r="S1057">
        <v>144.94999999999999</v>
      </c>
    </row>
    <row r="1058" spans="1:19" x14ac:dyDescent="0.3">
      <c r="A1058" s="2">
        <v>45401</v>
      </c>
      <c r="B1058">
        <v>75.709999999999994</v>
      </c>
      <c r="C1058">
        <v>95.8</v>
      </c>
      <c r="D1058">
        <v>108.91</v>
      </c>
      <c r="E1058">
        <v>110.95</v>
      </c>
      <c r="F1058">
        <v>108.06</v>
      </c>
      <c r="G1058">
        <v>83.14</v>
      </c>
      <c r="H1058">
        <v>87.29</v>
      </c>
      <c r="I1058">
        <v>88.82</v>
      </c>
      <c r="J1058">
        <v>119.88</v>
      </c>
      <c r="K1058">
        <v>32.85</v>
      </c>
      <c r="L1058">
        <v>73363.56</v>
      </c>
      <c r="M1058">
        <v>58277.95</v>
      </c>
      <c r="N1058">
        <v>10.5</v>
      </c>
      <c r="O1058">
        <v>5.2310000000000002E-2</v>
      </c>
      <c r="P1058">
        <v>1.752</v>
      </c>
      <c r="Q1058">
        <v>131.21</v>
      </c>
      <c r="R1058">
        <v>30.757999999999999</v>
      </c>
      <c r="S1058">
        <v>147.65</v>
      </c>
    </row>
    <row r="1059" spans="1:19" x14ac:dyDescent="0.3">
      <c r="A1059" s="2">
        <v>45404</v>
      </c>
      <c r="B1059">
        <v>75.709999999999994</v>
      </c>
      <c r="C1059">
        <v>95.8</v>
      </c>
      <c r="D1059">
        <v>108.91</v>
      </c>
      <c r="E1059">
        <v>106.69</v>
      </c>
      <c r="F1059">
        <v>108.06</v>
      </c>
      <c r="G1059">
        <v>82.85</v>
      </c>
      <c r="H1059">
        <v>87</v>
      </c>
      <c r="I1059">
        <v>88.72</v>
      </c>
      <c r="J1059">
        <v>120.56</v>
      </c>
      <c r="K1059">
        <v>31.65</v>
      </c>
      <c r="L1059">
        <v>73551.12</v>
      </c>
      <c r="M1059">
        <v>55296.51</v>
      </c>
      <c r="N1059">
        <v>10.53</v>
      </c>
      <c r="O1059">
        <v>5.2089999999999997E-2</v>
      </c>
      <c r="P1059">
        <v>1.7909999999999999</v>
      </c>
      <c r="Q1059">
        <v>131.65</v>
      </c>
      <c r="R1059">
        <v>29.31</v>
      </c>
      <c r="S1059">
        <v>148.9</v>
      </c>
    </row>
    <row r="1060" spans="1:19" x14ac:dyDescent="0.3">
      <c r="A1060" s="2">
        <v>45405</v>
      </c>
      <c r="B1060">
        <v>75.709999999999994</v>
      </c>
      <c r="C1060">
        <v>95.8</v>
      </c>
      <c r="D1060">
        <v>108.91</v>
      </c>
      <c r="E1060">
        <v>106.69</v>
      </c>
      <c r="F1060">
        <v>108.06</v>
      </c>
      <c r="G1060">
        <v>83.36</v>
      </c>
      <c r="H1060">
        <v>88.42</v>
      </c>
      <c r="I1060">
        <v>89.04</v>
      </c>
      <c r="J1060">
        <v>121.03</v>
      </c>
      <c r="K1060">
        <v>31.55</v>
      </c>
      <c r="L1060">
        <v>74010.83</v>
      </c>
      <c r="M1060">
        <v>54400.73</v>
      </c>
      <c r="N1060">
        <v>10.225</v>
      </c>
      <c r="O1060">
        <v>5.2310000000000002E-2</v>
      </c>
      <c r="P1060">
        <v>1.8120000000000001</v>
      </c>
      <c r="Q1060">
        <v>132.33000000000001</v>
      </c>
      <c r="R1060">
        <v>28.414999999999999</v>
      </c>
      <c r="S1060">
        <v>153.1</v>
      </c>
    </row>
    <row r="1061" spans="1:19" x14ac:dyDescent="0.3">
      <c r="A1061" s="2">
        <v>45406</v>
      </c>
      <c r="B1061">
        <v>75.709999999999994</v>
      </c>
      <c r="C1061">
        <v>95.8</v>
      </c>
      <c r="D1061">
        <v>108.91</v>
      </c>
      <c r="E1061">
        <v>106.69</v>
      </c>
      <c r="F1061">
        <v>108.06</v>
      </c>
      <c r="G1061">
        <v>82.81</v>
      </c>
      <c r="H1061">
        <v>88.02</v>
      </c>
      <c r="I1061">
        <v>89.02</v>
      </c>
      <c r="J1061">
        <v>121.05</v>
      </c>
      <c r="K1061">
        <v>31.7</v>
      </c>
      <c r="L1061">
        <v>74513.929999999993</v>
      </c>
      <c r="M1061">
        <v>54758.04</v>
      </c>
      <c r="N1061">
        <v>10.435</v>
      </c>
      <c r="O1061">
        <v>5.1999999999999998E-2</v>
      </c>
      <c r="P1061">
        <v>1.653</v>
      </c>
      <c r="Q1061">
        <v>132.57</v>
      </c>
      <c r="R1061">
        <v>29.02</v>
      </c>
      <c r="S1061">
        <v>153.85</v>
      </c>
    </row>
    <row r="1062" spans="1:19" x14ac:dyDescent="0.3">
      <c r="A1062" s="2">
        <v>45407</v>
      </c>
      <c r="B1062">
        <v>75.709999999999994</v>
      </c>
      <c r="C1062">
        <v>95.8</v>
      </c>
      <c r="D1062">
        <v>108.91</v>
      </c>
      <c r="E1062">
        <v>106.69</v>
      </c>
      <c r="F1062">
        <v>108.06</v>
      </c>
      <c r="G1062">
        <v>83.57</v>
      </c>
      <c r="H1062">
        <v>89.01</v>
      </c>
      <c r="I1062">
        <v>89.18</v>
      </c>
      <c r="J1062">
        <v>121.33</v>
      </c>
      <c r="K1062">
        <v>32.1</v>
      </c>
      <c r="L1062">
        <v>74329.37</v>
      </c>
      <c r="M1062">
        <v>54455.13</v>
      </c>
      <c r="N1062">
        <v>10.43</v>
      </c>
      <c r="O1062">
        <v>5.2490000000000002E-2</v>
      </c>
      <c r="P1062">
        <v>1.6379999999999999</v>
      </c>
      <c r="Q1062">
        <v>131.82</v>
      </c>
      <c r="R1062">
        <v>29.77</v>
      </c>
      <c r="S1062">
        <v>159.35</v>
      </c>
    </row>
    <row r="1063" spans="1:19" x14ac:dyDescent="0.3">
      <c r="A1063" s="2">
        <v>45408</v>
      </c>
      <c r="B1063">
        <v>71.77</v>
      </c>
      <c r="C1063">
        <v>91.31</v>
      </c>
      <c r="D1063">
        <v>103.78</v>
      </c>
      <c r="E1063">
        <v>106.69</v>
      </c>
      <c r="F1063">
        <v>107.74</v>
      </c>
      <c r="G1063">
        <v>83.85</v>
      </c>
      <c r="H1063">
        <v>89.5</v>
      </c>
      <c r="I1063">
        <v>89.19</v>
      </c>
      <c r="J1063">
        <v>117.96</v>
      </c>
      <c r="K1063">
        <v>31.95</v>
      </c>
      <c r="L1063">
        <v>75370.990000000005</v>
      </c>
      <c r="M1063">
        <v>54809.63</v>
      </c>
      <c r="N1063">
        <v>10.324999999999999</v>
      </c>
      <c r="O1063">
        <v>5.3150000000000003E-2</v>
      </c>
      <c r="P1063">
        <v>1.6140000000000001</v>
      </c>
      <c r="Q1063">
        <v>131.69999999999999</v>
      </c>
      <c r="R1063">
        <v>28.885000000000002</v>
      </c>
      <c r="S1063">
        <v>158.85</v>
      </c>
    </row>
    <row r="1064" spans="1:19" x14ac:dyDescent="0.3">
      <c r="A1064" s="2">
        <v>45411</v>
      </c>
      <c r="B1064">
        <v>71.77</v>
      </c>
      <c r="C1064">
        <v>91.31</v>
      </c>
      <c r="D1064">
        <v>103.78</v>
      </c>
      <c r="E1064">
        <v>103.58</v>
      </c>
      <c r="F1064">
        <v>107.74</v>
      </c>
      <c r="G1064">
        <v>82.63</v>
      </c>
      <c r="H1064">
        <v>88.4</v>
      </c>
      <c r="I1064">
        <v>89.11</v>
      </c>
      <c r="J1064">
        <v>119.64</v>
      </c>
      <c r="K1064">
        <v>32.15</v>
      </c>
      <c r="L1064">
        <v>76456.149999999994</v>
      </c>
      <c r="M1064">
        <v>56596.21</v>
      </c>
      <c r="N1064">
        <v>10.210000000000001</v>
      </c>
      <c r="O1064">
        <v>5.3690000000000002E-2</v>
      </c>
      <c r="P1064">
        <v>2.0299999999999998</v>
      </c>
      <c r="Q1064">
        <v>130.78</v>
      </c>
      <c r="R1064">
        <v>27.994</v>
      </c>
      <c r="S1064">
        <v>155.30000000000001</v>
      </c>
    </row>
    <row r="1065" spans="1:19" x14ac:dyDescent="0.3">
      <c r="A1065" s="2">
        <v>45412</v>
      </c>
      <c r="B1065">
        <v>71.77</v>
      </c>
      <c r="C1065">
        <v>91.31</v>
      </c>
      <c r="D1065">
        <v>103.78</v>
      </c>
      <c r="E1065">
        <v>103.58</v>
      </c>
      <c r="F1065">
        <v>107.74</v>
      </c>
      <c r="G1065">
        <v>81.93</v>
      </c>
      <c r="H1065">
        <v>87.86</v>
      </c>
      <c r="I1065">
        <v>89.17</v>
      </c>
      <c r="J1065">
        <v>118.27</v>
      </c>
      <c r="K1065">
        <v>32.700000000000003</v>
      </c>
      <c r="L1065">
        <v>76076.17</v>
      </c>
      <c r="M1065">
        <v>53283.85</v>
      </c>
      <c r="N1065">
        <v>10.335000000000001</v>
      </c>
      <c r="O1065">
        <v>5.3220000000000003E-2</v>
      </c>
      <c r="P1065">
        <v>1.9910000000000001</v>
      </c>
      <c r="Q1065">
        <v>128.76</v>
      </c>
      <c r="R1065">
        <v>29.12</v>
      </c>
      <c r="S1065">
        <v>156.30000000000001</v>
      </c>
    </row>
    <row r="1066" spans="1:19" x14ac:dyDescent="0.3">
      <c r="A1066" s="2">
        <v>45413</v>
      </c>
      <c r="B1066">
        <v>71.77</v>
      </c>
      <c r="C1066">
        <v>91.31</v>
      </c>
      <c r="D1066">
        <v>103.78</v>
      </c>
      <c r="E1066">
        <v>103.58</v>
      </c>
      <c r="F1066">
        <v>107.74</v>
      </c>
      <c r="G1066">
        <v>79</v>
      </c>
      <c r="H1066">
        <v>83.44</v>
      </c>
      <c r="I1066">
        <v>83.46</v>
      </c>
      <c r="J1066">
        <v>116.03</v>
      </c>
      <c r="K1066">
        <v>21.274702495201531</v>
      </c>
      <c r="L1066">
        <v>68736.904810964072</v>
      </c>
      <c r="M1066">
        <v>52972.178374291107</v>
      </c>
      <c r="N1066">
        <v>10.234999999999999</v>
      </c>
      <c r="O1066">
        <v>5.3760000000000002E-2</v>
      </c>
      <c r="P1066">
        <v>1.9319999999999999</v>
      </c>
      <c r="Q1066">
        <v>128.68</v>
      </c>
      <c r="R1066">
        <v>28.73</v>
      </c>
      <c r="S1066">
        <v>141.61602674307539</v>
      </c>
    </row>
    <row r="1067" spans="1:19" x14ac:dyDescent="0.3">
      <c r="A1067" s="2">
        <v>45414</v>
      </c>
      <c r="B1067">
        <v>71.77</v>
      </c>
      <c r="C1067">
        <v>91.31</v>
      </c>
      <c r="D1067">
        <v>103.78</v>
      </c>
      <c r="E1067">
        <v>103.58</v>
      </c>
      <c r="F1067">
        <v>107.74</v>
      </c>
      <c r="G1067">
        <v>78.95</v>
      </c>
      <c r="H1067">
        <v>83.67</v>
      </c>
      <c r="I1067">
        <v>83.87</v>
      </c>
      <c r="J1067">
        <v>116.24</v>
      </c>
      <c r="K1067">
        <v>32.6</v>
      </c>
      <c r="L1067">
        <v>76046.850000000006</v>
      </c>
      <c r="M1067">
        <v>52363.42</v>
      </c>
      <c r="N1067">
        <v>10.41</v>
      </c>
      <c r="O1067">
        <v>5.3900000000000003E-2</v>
      </c>
      <c r="P1067">
        <v>2.0350000000000001</v>
      </c>
      <c r="Q1067">
        <v>126.54</v>
      </c>
      <c r="R1067">
        <v>30.914999999999999</v>
      </c>
      <c r="S1067">
        <v>156.19999999999999</v>
      </c>
    </row>
    <row r="1068" spans="1:19" x14ac:dyDescent="0.3">
      <c r="A1068" s="2">
        <v>45415</v>
      </c>
      <c r="B1068">
        <v>71.540000000000006</v>
      </c>
      <c r="C1068">
        <v>91.37</v>
      </c>
      <c r="D1068">
        <v>102.73</v>
      </c>
      <c r="E1068">
        <v>106.02</v>
      </c>
      <c r="F1068">
        <v>107.08</v>
      </c>
      <c r="G1068">
        <v>78.11</v>
      </c>
      <c r="H1068">
        <v>82.96</v>
      </c>
      <c r="I1068">
        <v>83.2</v>
      </c>
      <c r="J1068">
        <v>116</v>
      </c>
      <c r="K1068">
        <v>33.200000000000003</v>
      </c>
      <c r="L1068">
        <v>76428.33</v>
      </c>
      <c r="M1068">
        <v>51988.46</v>
      </c>
      <c r="N1068">
        <v>10.47</v>
      </c>
      <c r="O1068">
        <v>5.4010000000000002E-2</v>
      </c>
      <c r="P1068">
        <v>2.1419999999999999</v>
      </c>
      <c r="Q1068">
        <v>130.5</v>
      </c>
      <c r="R1068">
        <v>30.53</v>
      </c>
      <c r="S1068">
        <v>157.55000000000001</v>
      </c>
    </row>
    <row r="1069" spans="1:19" x14ac:dyDescent="0.3">
      <c r="A1069" s="2">
        <v>45418</v>
      </c>
      <c r="B1069">
        <v>87.953183520599239</v>
      </c>
      <c r="C1069">
        <v>113.3531554307116</v>
      </c>
      <c r="D1069">
        <v>134.97180711610491</v>
      </c>
      <c r="E1069">
        <v>144.35149446494461</v>
      </c>
      <c r="F1069">
        <v>123.75970973782771</v>
      </c>
      <c r="G1069">
        <v>78.48</v>
      </c>
      <c r="H1069">
        <v>83.33</v>
      </c>
      <c r="I1069">
        <v>83.56</v>
      </c>
      <c r="J1069">
        <v>116.75</v>
      </c>
      <c r="K1069">
        <v>33.549999999999997</v>
      </c>
      <c r="L1069">
        <v>76776.45</v>
      </c>
      <c r="M1069">
        <v>53586.93</v>
      </c>
      <c r="N1069">
        <v>10.47</v>
      </c>
      <c r="O1069">
        <v>5.4089999999999999E-2</v>
      </c>
      <c r="P1069">
        <v>2.1949999999999998</v>
      </c>
      <c r="Q1069">
        <v>131.28</v>
      </c>
      <c r="R1069">
        <v>31.8</v>
      </c>
      <c r="S1069">
        <v>152.94999999999999</v>
      </c>
    </row>
    <row r="1070" spans="1:19" x14ac:dyDescent="0.3">
      <c r="A1070" s="2">
        <v>45419</v>
      </c>
      <c r="B1070">
        <v>71.540000000000006</v>
      </c>
      <c r="C1070">
        <v>91.37</v>
      </c>
      <c r="D1070">
        <v>102.73</v>
      </c>
      <c r="E1070">
        <v>106.02</v>
      </c>
      <c r="F1070">
        <v>107.08</v>
      </c>
      <c r="G1070">
        <v>78.38</v>
      </c>
      <c r="H1070">
        <v>83.16</v>
      </c>
      <c r="I1070">
        <v>83.57</v>
      </c>
      <c r="J1070">
        <v>116.17</v>
      </c>
      <c r="K1070">
        <v>33.9</v>
      </c>
      <c r="L1070">
        <v>76929.48</v>
      </c>
      <c r="M1070">
        <v>52907.35</v>
      </c>
      <c r="N1070">
        <v>10.5</v>
      </c>
      <c r="O1070">
        <v>5.398E-2</v>
      </c>
      <c r="P1070">
        <v>2.2069999999999999</v>
      </c>
      <c r="Q1070">
        <v>133.72</v>
      </c>
      <c r="R1070">
        <v>31.065000000000001</v>
      </c>
      <c r="S1070">
        <v>148.69999999999999</v>
      </c>
    </row>
    <row r="1071" spans="1:19" x14ac:dyDescent="0.3">
      <c r="A1071" s="2">
        <v>45420</v>
      </c>
      <c r="B1071">
        <v>71.540000000000006</v>
      </c>
      <c r="C1071">
        <v>91.37</v>
      </c>
      <c r="D1071">
        <v>102.73</v>
      </c>
      <c r="E1071">
        <v>106.02</v>
      </c>
      <c r="F1071">
        <v>107.08</v>
      </c>
      <c r="G1071">
        <v>78.989999999999995</v>
      </c>
      <c r="H1071">
        <v>83.58</v>
      </c>
      <c r="I1071">
        <v>84.16</v>
      </c>
      <c r="J1071">
        <v>116.15</v>
      </c>
      <c r="K1071">
        <v>34.450000000000003</v>
      </c>
      <c r="L1071">
        <v>77177.429999999993</v>
      </c>
      <c r="M1071">
        <v>53084.93</v>
      </c>
      <c r="N1071">
        <v>10.46</v>
      </c>
      <c r="O1071">
        <v>5.3839999999999999E-2</v>
      </c>
      <c r="P1071">
        <v>2.1869999999999998</v>
      </c>
      <c r="Q1071">
        <v>133.38999999999999</v>
      </c>
      <c r="R1071">
        <v>30.61</v>
      </c>
      <c r="S1071">
        <v>147.5</v>
      </c>
    </row>
    <row r="1072" spans="1:19" x14ac:dyDescent="0.3">
      <c r="A1072" s="2">
        <v>45421</v>
      </c>
      <c r="B1072">
        <v>71.540000000000006</v>
      </c>
      <c r="C1072">
        <v>91.37</v>
      </c>
      <c r="D1072">
        <v>102.73</v>
      </c>
      <c r="E1072">
        <v>106.02</v>
      </c>
      <c r="F1072">
        <v>107.08</v>
      </c>
      <c r="G1072">
        <v>79.260000000000005</v>
      </c>
      <c r="H1072">
        <v>83.88</v>
      </c>
      <c r="I1072">
        <v>84.18</v>
      </c>
      <c r="J1072">
        <v>118.44</v>
      </c>
      <c r="K1072">
        <v>34.4</v>
      </c>
      <c r="L1072">
        <v>77539.149999999994</v>
      </c>
      <c r="M1072">
        <v>53977.68</v>
      </c>
      <c r="N1072">
        <v>10.46</v>
      </c>
      <c r="O1072">
        <v>5.4100000000000002E-2</v>
      </c>
      <c r="P1072">
        <v>2.3010000000000002</v>
      </c>
      <c r="Q1072">
        <v>134.94999999999999</v>
      </c>
      <c r="R1072">
        <v>30.864999999999998</v>
      </c>
      <c r="S1072">
        <v>142.80000000000001</v>
      </c>
    </row>
    <row r="1073" spans="1:19" x14ac:dyDescent="0.3">
      <c r="A1073" s="2">
        <v>45422</v>
      </c>
      <c r="B1073">
        <v>72.05</v>
      </c>
      <c r="C1073">
        <v>92.93</v>
      </c>
      <c r="D1073">
        <v>104.89</v>
      </c>
      <c r="E1073">
        <v>106.02</v>
      </c>
      <c r="F1073">
        <v>108.05</v>
      </c>
      <c r="G1073">
        <v>78.260000000000005</v>
      </c>
      <c r="H1073">
        <v>82.79</v>
      </c>
      <c r="I1073">
        <v>83.65</v>
      </c>
      <c r="J1073">
        <v>117.96</v>
      </c>
      <c r="K1073">
        <v>36.5</v>
      </c>
      <c r="L1073">
        <v>78464.22</v>
      </c>
      <c r="M1073">
        <v>55943.14</v>
      </c>
      <c r="N1073">
        <v>10.475</v>
      </c>
      <c r="O1073">
        <v>5.4170000000000003E-2</v>
      </c>
      <c r="P1073">
        <v>2.2519999999999998</v>
      </c>
      <c r="Q1073">
        <v>133.99</v>
      </c>
      <c r="R1073">
        <v>30.03</v>
      </c>
      <c r="S1073">
        <v>145.05000000000001</v>
      </c>
    </row>
    <row r="1074" spans="1:19" x14ac:dyDescent="0.3">
      <c r="A1074" s="2">
        <v>45425</v>
      </c>
      <c r="B1074">
        <v>72.05</v>
      </c>
      <c r="C1074">
        <v>92.93</v>
      </c>
      <c r="D1074">
        <v>104.89</v>
      </c>
      <c r="E1074">
        <v>106.05</v>
      </c>
      <c r="F1074">
        <v>108.05</v>
      </c>
      <c r="G1074">
        <v>79.12</v>
      </c>
      <c r="H1074">
        <v>83.36</v>
      </c>
      <c r="I1074">
        <v>84.14</v>
      </c>
      <c r="J1074">
        <v>117.91</v>
      </c>
      <c r="K1074">
        <v>36.15</v>
      </c>
      <c r="L1074">
        <v>78686.89</v>
      </c>
      <c r="M1074">
        <v>55453.2</v>
      </c>
      <c r="N1074">
        <v>10.45</v>
      </c>
      <c r="O1074">
        <v>5.4429999999999999E-2</v>
      </c>
      <c r="P1074">
        <v>2.3809999999999998</v>
      </c>
      <c r="Q1074">
        <v>133.74</v>
      </c>
      <c r="R1074">
        <v>29.58</v>
      </c>
      <c r="S1074">
        <v>145.1</v>
      </c>
    </row>
    <row r="1075" spans="1:19" x14ac:dyDescent="0.3">
      <c r="A1075" s="2">
        <v>45426</v>
      </c>
      <c r="B1075">
        <v>72.05</v>
      </c>
      <c r="C1075">
        <v>92.93</v>
      </c>
      <c r="D1075">
        <v>104.89</v>
      </c>
      <c r="E1075">
        <v>106.05</v>
      </c>
      <c r="F1075">
        <v>108.05</v>
      </c>
      <c r="G1075">
        <v>78.02</v>
      </c>
      <c r="H1075">
        <v>82.38</v>
      </c>
      <c r="I1075">
        <v>83.56</v>
      </c>
      <c r="J1075">
        <v>117.67</v>
      </c>
      <c r="K1075">
        <v>35.549999999999997</v>
      </c>
      <c r="L1075">
        <v>78632.58</v>
      </c>
      <c r="M1075">
        <v>55351.62</v>
      </c>
      <c r="N1075">
        <v>10.45</v>
      </c>
      <c r="O1075">
        <v>5.4449999999999998E-2</v>
      </c>
      <c r="P1075">
        <v>2.3439999999999999</v>
      </c>
      <c r="Q1075">
        <v>134.38999999999999</v>
      </c>
      <c r="R1075">
        <v>29.67</v>
      </c>
      <c r="S1075">
        <v>144.85</v>
      </c>
    </row>
    <row r="1076" spans="1:19" x14ac:dyDescent="0.3">
      <c r="A1076" s="2">
        <v>45427</v>
      </c>
      <c r="B1076">
        <v>72.05</v>
      </c>
      <c r="C1076">
        <v>92.93</v>
      </c>
      <c r="D1076">
        <v>104.89</v>
      </c>
      <c r="E1076">
        <v>106.05</v>
      </c>
      <c r="F1076">
        <v>108.05</v>
      </c>
      <c r="G1076">
        <v>78.63</v>
      </c>
      <c r="H1076">
        <v>82.75</v>
      </c>
      <c r="I1076">
        <v>83.67</v>
      </c>
      <c r="J1076">
        <v>118.58</v>
      </c>
      <c r="K1076">
        <v>21.274702495201531</v>
      </c>
      <c r="L1076">
        <v>79361.570000000007</v>
      </c>
      <c r="M1076">
        <v>56268.57</v>
      </c>
      <c r="N1076">
        <v>10.468999999999999</v>
      </c>
      <c r="O1076">
        <v>5.4699999999999999E-2</v>
      </c>
      <c r="P1076">
        <v>2.4159999999999999</v>
      </c>
      <c r="Q1076">
        <v>137.87</v>
      </c>
      <c r="R1076">
        <v>29.734999999999999</v>
      </c>
      <c r="S1076">
        <v>145.55000000000001</v>
      </c>
    </row>
    <row r="1077" spans="1:19" x14ac:dyDescent="0.3">
      <c r="A1077" s="2">
        <v>45428</v>
      </c>
      <c r="B1077">
        <v>72.05</v>
      </c>
      <c r="C1077">
        <v>92.93</v>
      </c>
      <c r="D1077">
        <v>104.89</v>
      </c>
      <c r="E1077">
        <v>106.05</v>
      </c>
      <c r="F1077">
        <v>108.05</v>
      </c>
      <c r="G1077">
        <v>79.23</v>
      </c>
      <c r="H1077">
        <v>83.27</v>
      </c>
      <c r="I1077">
        <v>83.94</v>
      </c>
      <c r="J1077">
        <v>117.87</v>
      </c>
      <c r="K1077">
        <v>35.799999999999997</v>
      </c>
      <c r="L1077">
        <v>79508.98</v>
      </c>
      <c r="M1077">
        <v>55309.59</v>
      </c>
      <c r="N1077">
        <v>11.045</v>
      </c>
      <c r="O1077">
        <v>5.491E-2</v>
      </c>
      <c r="P1077">
        <v>2.4950000000000001</v>
      </c>
      <c r="Q1077">
        <v>137.11000000000001</v>
      </c>
      <c r="R1077">
        <v>30.25</v>
      </c>
      <c r="S1077">
        <v>148</v>
      </c>
    </row>
    <row r="1078" spans="1:19" x14ac:dyDescent="0.3">
      <c r="A1078" s="2">
        <v>45429</v>
      </c>
      <c r="B1078">
        <v>71.86</v>
      </c>
      <c r="C1078">
        <v>92.39</v>
      </c>
      <c r="D1078">
        <v>103.69</v>
      </c>
      <c r="E1078">
        <v>106.05</v>
      </c>
      <c r="F1078">
        <v>108.7</v>
      </c>
      <c r="G1078">
        <v>80.06</v>
      </c>
      <c r="H1078">
        <v>83.98</v>
      </c>
      <c r="I1078">
        <v>84.38</v>
      </c>
      <c r="J1078">
        <v>119.64</v>
      </c>
      <c r="K1078">
        <v>35.85</v>
      </c>
      <c r="L1078">
        <v>79530.63</v>
      </c>
      <c r="M1078">
        <v>56788.87</v>
      </c>
      <c r="N1078">
        <v>11.16</v>
      </c>
      <c r="O1078">
        <v>5.5059999999999998E-2</v>
      </c>
      <c r="P1078">
        <v>2.6259999999999999</v>
      </c>
      <c r="Q1078">
        <v>138.4</v>
      </c>
      <c r="R1078">
        <v>30.768999999999998</v>
      </c>
      <c r="S1078">
        <v>151.4</v>
      </c>
    </row>
    <row r="1079" spans="1:19" x14ac:dyDescent="0.3">
      <c r="A1079" s="2">
        <v>45432</v>
      </c>
      <c r="B1079">
        <v>71.86</v>
      </c>
      <c r="C1079">
        <v>92.39</v>
      </c>
      <c r="D1079">
        <v>103.69</v>
      </c>
      <c r="E1079">
        <v>110.38</v>
      </c>
      <c r="F1079">
        <v>108.7</v>
      </c>
      <c r="G1079">
        <v>79.8</v>
      </c>
      <c r="H1079">
        <v>83.71</v>
      </c>
      <c r="I1079">
        <v>84.33</v>
      </c>
      <c r="J1079">
        <v>118.67</v>
      </c>
      <c r="K1079">
        <v>36.25</v>
      </c>
      <c r="L1079">
        <v>80072.990000000005</v>
      </c>
      <c r="M1079">
        <v>58180.36</v>
      </c>
      <c r="N1079">
        <v>11.505000000000001</v>
      </c>
      <c r="O1079">
        <v>5.4899999999999997E-2</v>
      </c>
      <c r="P1079">
        <v>2.7509999999999999</v>
      </c>
      <c r="Q1079">
        <v>136.94999999999999</v>
      </c>
      <c r="R1079">
        <v>31.77</v>
      </c>
      <c r="S1079">
        <v>141.61602674307539</v>
      </c>
    </row>
    <row r="1080" spans="1:19" x14ac:dyDescent="0.3">
      <c r="A1080" s="2">
        <v>45433</v>
      </c>
      <c r="B1080">
        <v>71.86</v>
      </c>
      <c r="C1080">
        <v>92.39</v>
      </c>
      <c r="D1080">
        <v>103.69</v>
      </c>
      <c r="E1080">
        <v>110.38</v>
      </c>
      <c r="F1080">
        <v>108.7</v>
      </c>
      <c r="G1080">
        <v>79.260000000000005</v>
      </c>
      <c r="H1080">
        <v>82.88</v>
      </c>
      <c r="I1080">
        <v>84.13</v>
      </c>
      <c r="J1080">
        <v>117.85</v>
      </c>
      <c r="K1080">
        <v>36.85</v>
      </c>
      <c r="L1080">
        <v>79808.070000000007</v>
      </c>
      <c r="M1080">
        <v>57529.74</v>
      </c>
      <c r="N1080">
        <v>11.824999999999999</v>
      </c>
      <c r="O1080">
        <v>5.5289999999999999E-2</v>
      </c>
      <c r="P1080">
        <v>2.6709999999999998</v>
      </c>
      <c r="Q1080">
        <v>137.27000000000001</v>
      </c>
      <c r="R1080">
        <v>33.005000000000003</v>
      </c>
      <c r="S1080">
        <v>160.44999999999999</v>
      </c>
    </row>
    <row r="1081" spans="1:19" x14ac:dyDescent="0.3">
      <c r="A1081" s="2">
        <v>45434</v>
      </c>
      <c r="B1081">
        <v>71.86</v>
      </c>
      <c r="C1081">
        <v>92.39</v>
      </c>
      <c r="D1081">
        <v>103.69</v>
      </c>
      <c r="E1081">
        <v>110.38</v>
      </c>
      <c r="F1081">
        <v>108.7</v>
      </c>
      <c r="G1081">
        <v>77.569999999999993</v>
      </c>
      <c r="H1081">
        <v>81.900000000000006</v>
      </c>
      <c r="I1081">
        <v>83.76</v>
      </c>
      <c r="J1081">
        <v>115.48</v>
      </c>
      <c r="K1081">
        <v>36.450000000000003</v>
      </c>
      <c r="L1081">
        <v>79492.570000000007</v>
      </c>
      <c r="M1081">
        <v>56242.51</v>
      </c>
      <c r="N1081">
        <v>11.975</v>
      </c>
      <c r="O1081">
        <v>5.4730000000000001E-2</v>
      </c>
      <c r="P1081">
        <v>2.8420000000000001</v>
      </c>
      <c r="Q1081">
        <v>136.88999999999999</v>
      </c>
      <c r="R1081">
        <v>34.39</v>
      </c>
      <c r="S1081">
        <v>154.5</v>
      </c>
    </row>
    <row r="1082" spans="1:19" x14ac:dyDescent="0.3">
      <c r="A1082" s="2">
        <v>45435</v>
      </c>
      <c r="B1082">
        <v>71.86</v>
      </c>
      <c r="C1082">
        <v>92.39</v>
      </c>
      <c r="D1082">
        <v>103.69</v>
      </c>
      <c r="E1082">
        <v>110.38</v>
      </c>
      <c r="F1082">
        <v>108.7</v>
      </c>
      <c r="G1082">
        <v>76.87</v>
      </c>
      <c r="H1082">
        <v>81.36</v>
      </c>
      <c r="I1082">
        <v>83.65</v>
      </c>
      <c r="J1082">
        <v>113.51</v>
      </c>
      <c r="K1082">
        <v>36.65</v>
      </c>
      <c r="L1082">
        <v>78956.070000000007</v>
      </c>
      <c r="M1082">
        <v>54500.95</v>
      </c>
      <c r="N1082">
        <v>12.255000000000001</v>
      </c>
      <c r="O1082">
        <v>5.4080000000000003E-2</v>
      </c>
      <c r="P1082">
        <v>2.657</v>
      </c>
      <c r="Q1082">
        <v>135.4</v>
      </c>
      <c r="R1082">
        <v>35.229999999999997</v>
      </c>
      <c r="S1082">
        <v>155.75</v>
      </c>
    </row>
    <row r="1083" spans="1:19" x14ac:dyDescent="0.3">
      <c r="A1083" s="2">
        <v>45436</v>
      </c>
      <c r="B1083">
        <v>74.87</v>
      </c>
      <c r="C1083">
        <v>95.36</v>
      </c>
      <c r="D1083">
        <v>107.11</v>
      </c>
      <c r="E1083">
        <v>111.35</v>
      </c>
      <c r="F1083">
        <v>111.29</v>
      </c>
      <c r="G1083">
        <v>77.72</v>
      </c>
      <c r="H1083">
        <v>82.12</v>
      </c>
      <c r="I1083">
        <v>83.83</v>
      </c>
      <c r="J1083">
        <v>113.42</v>
      </c>
      <c r="K1083">
        <v>36.25</v>
      </c>
      <c r="L1083">
        <v>79150.84</v>
      </c>
      <c r="M1083">
        <v>55282.35</v>
      </c>
      <c r="N1083">
        <v>11.94</v>
      </c>
      <c r="O1083">
        <v>5.4190000000000002E-2</v>
      </c>
      <c r="P1083">
        <v>2.52</v>
      </c>
      <c r="Q1083">
        <v>136.34</v>
      </c>
      <c r="R1083">
        <v>34.115000000000002</v>
      </c>
      <c r="S1083">
        <v>157.75</v>
      </c>
    </row>
    <row r="1084" spans="1:19" x14ac:dyDescent="0.3">
      <c r="A1084" s="2">
        <v>45439</v>
      </c>
      <c r="B1084">
        <v>87.953183520599239</v>
      </c>
      <c r="C1084">
        <v>113.3531554307116</v>
      </c>
      <c r="D1084">
        <v>134.97180711610491</v>
      </c>
      <c r="E1084">
        <v>144.35149446494461</v>
      </c>
      <c r="F1084">
        <v>123.75970973782771</v>
      </c>
      <c r="G1084">
        <v>78.650000000000006</v>
      </c>
      <c r="H1084">
        <v>83.1</v>
      </c>
      <c r="I1084">
        <v>74.752492970946577</v>
      </c>
      <c r="J1084">
        <v>80.871012183692585</v>
      </c>
      <c r="K1084">
        <v>36.85</v>
      </c>
      <c r="L1084">
        <v>78920.88</v>
      </c>
      <c r="M1084">
        <v>55974.62</v>
      </c>
      <c r="N1084">
        <v>17.62252908067542</v>
      </c>
      <c r="O1084">
        <v>5.4449999999999998E-2</v>
      </c>
      <c r="P1084">
        <v>2.78</v>
      </c>
      <c r="Q1084">
        <v>112.7561105904405</v>
      </c>
      <c r="R1084">
        <v>34.799999999999997</v>
      </c>
      <c r="S1084">
        <v>160.80000000000001</v>
      </c>
    </row>
    <row r="1085" spans="1:19" x14ac:dyDescent="0.3">
      <c r="A1085" s="2">
        <v>45440</v>
      </c>
      <c r="B1085">
        <v>74.87</v>
      </c>
      <c r="C1085">
        <v>95.36</v>
      </c>
      <c r="D1085">
        <v>107.11</v>
      </c>
      <c r="E1085">
        <v>111.35</v>
      </c>
      <c r="F1085">
        <v>111.29</v>
      </c>
      <c r="G1085">
        <v>79.83</v>
      </c>
      <c r="H1085">
        <v>84.22</v>
      </c>
      <c r="I1085">
        <v>84.15</v>
      </c>
      <c r="J1085">
        <v>114.88</v>
      </c>
      <c r="K1085">
        <v>37.65</v>
      </c>
      <c r="L1085">
        <v>78576.14</v>
      </c>
      <c r="M1085">
        <v>55218.1</v>
      </c>
      <c r="N1085">
        <v>11.955</v>
      </c>
      <c r="O1085">
        <v>5.4690000000000003E-2</v>
      </c>
      <c r="P1085">
        <v>2.59</v>
      </c>
      <c r="Q1085">
        <v>133.66999999999999</v>
      </c>
      <c r="R1085">
        <v>33.534999999999997</v>
      </c>
      <c r="S1085">
        <v>157.15</v>
      </c>
    </row>
    <row r="1086" spans="1:19" x14ac:dyDescent="0.3">
      <c r="A1086" s="2">
        <v>45441</v>
      </c>
      <c r="B1086">
        <v>74.87</v>
      </c>
      <c r="C1086">
        <v>95.36</v>
      </c>
      <c r="D1086">
        <v>107.11</v>
      </c>
      <c r="E1086">
        <v>111.35</v>
      </c>
      <c r="F1086">
        <v>111.29</v>
      </c>
      <c r="G1086">
        <v>79.23</v>
      </c>
      <c r="H1086">
        <v>83.6</v>
      </c>
      <c r="I1086">
        <v>84.05</v>
      </c>
      <c r="J1086">
        <v>113.63</v>
      </c>
      <c r="K1086">
        <v>38.200000000000003</v>
      </c>
      <c r="L1086">
        <v>68736.904810964072</v>
      </c>
      <c r="M1086">
        <v>52972.178374291107</v>
      </c>
      <c r="N1086">
        <v>11.83</v>
      </c>
      <c r="O1086">
        <v>5.4289999999999998E-2</v>
      </c>
      <c r="P1086">
        <v>2.4929999999999999</v>
      </c>
      <c r="Q1086">
        <v>131.94999999999999</v>
      </c>
      <c r="R1086">
        <v>33.880000000000003</v>
      </c>
      <c r="S1086">
        <v>156.80000000000001</v>
      </c>
    </row>
    <row r="1087" spans="1:19" x14ac:dyDescent="0.3">
      <c r="A1087" s="2">
        <v>45442</v>
      </c>
      <c r="B1087">
        <v>74.87</v>
      </c>
      <c r="C1087">
        <v>95.36</v>
      </c>
      <c r="D1087">
        <v>107.11</v>
      </c>
      <c r="E1087">
        <v>111.35</v>
      </c>
      <c r="F1087">
        <v>111.29</v>
      </c>
      <c r="G1087">
        <v>77.91</v>
      </c>
      <c r="H1087">
        <v>81.86</v>
      </c>
      <c r="I1087">
        <v>84</v>
      </c>
      <c r="J1087">
        <v>113.99</v>
      </c>
      <c r="K1087">
        <v>37.5</v>
      </c>
      <c r="L1087">
        <v>77161.710000000006</v>
      </c>
      <c r="M1087">
        <v>54703.4</v>
      </c>
      <c r="N1087">
        <v>11.96</v>
      </c>
      <c r="O1087">
        <v>5.33E-2</v>
      </c>
      <c r="P1087">
        <v>2.5720000000000001</v>
      </c>
      <c r="Q1087">
        <v>133.24</v>
      </c>
      <c r="R1087">
        <v>35.192</v>
      </c>
      <c r="S1087">
        <v>154.30000000000001</v>
      </c>
    </row>
    <row r="1088" spans="1:19" x14ac:dyDescent="0.3">
      <c r="A1088" s="2">
        <v>45443</v>
      </c>
      <c r="B1088">
        <v>76.97</v>
      </c>
      <c r="C1088">
        <v>98.19</v>
      </c>
      <c r="D1088">
        <v>110.11</v>
      </c>
      <c r="E1088">
        <v>111.35</v>
      </c>
      <c r="F1088">
        <v>111.73</v>
      </c>
      <c r="G1088">
        <v>76.989999999999995</v>
      </c>
      <c r="H1088">
        <v>81.62</v>
      </c>
      <c r="I1088">
        <v>84.04</v>
      </c>
      <c r="J1088">
        <v>117.26</v>
      </c>
      <c r="K1088">
        <v>37.950000000000003</v>
      </c>
      <c r="L1088">
        <v>76704.259999999995</v>
      </c>
      <c r="M1088">
        <v>53620.26</v>
      </c>
      <c r="N1088">
        <v>11.904999999999999</v>
      </c>
      <c r="O1088">
        <v>5.3129999999999997E-2</v>
      </c>
      <c r="P1088">
        <v>2.5870000000000002</v>
      </c>
      <c r="Q1088">
        <v>133.9</v>
      </c>
      <c r="R1088">
        <v>34.222999999999999</v>
      </c>
      <c r="S1088">
        <v>153.15</v>
      </c>
    </row>
    <row r="1089" spans="1:19" x14ac:dyDescent="0.3">
      <c r="A1089" s="2">
        <v>45446</v>
      </c>
      <c r="B1089">
        <v>76.97</v>
      </c>
      <c r="C1089">
        <v>98.19</v>
      </c>
      <c r="D1089">
        <v>110.11</v>
      </c>
      <c r="E1089">
        <v>109.62</v>
      </c>
      <c r="F1089">
        <v>111.73</v>
      </c>
      <c r="G1089">
        <v>74.22</v>
      </c>
      <c r="H1089">
        <v>78.22</v>
      </c>
      <c r="I1089">
        <v>79.17</v>
      </c>
      <c r="J1089">
        <v>114.45</v>
      </c>
      <c r="K1089">
        <v>38.1</v>
      </c>
      <c r="L1089">
        <v>77746.23</v>
      </c>
      <c r="M1089">
        <v>53005.87</v>
      </c>
      <c r="N1089">
        <v>12.05</v>
      </c>
      <c r="O1089">
        <v>5.4030000000000002E-2</v>
      </c>
      <c r="P1089">
        <v>2.8039999999999998</v>
      </c>
      <c r="Q1089">
        <v>133.65</v>
      </c>
      <c r="R1089">
        <v>36.015000000000001</v>
      </c>
      <c r="S1089">
        <v>157.80000000000001</v>
      </c>
    </row>
    <row r="1090" spans="1:19" x14ac:dyDescent="0.3">
      <c r="A1090" s="2">
        <v>45447</v>
      </c>
      <c r="B1090">
        <v>76.97</v>
      </c>
      <c r="C1090">
        <v>98.19</v>
      </c>
      <c r="D1090">
        <v>110.11</v>
      </c>
      <c r="E1090">
        <v>109.62</v>
      </c>
      <c r="F1090">
        <v>111.73</v>
      </c>
      <c r="G1090">
        <v>73.25</v>
      </c>
      <c r="H1090">
        <v>77.27</v>
      </c>
      <c r="I1090">
        <v>78.459999999999994</v>
      </c>
      <c r="J1090">
        <v>112.67</v>
      </c>
      <c r="K1090">
        <v>37.65</v>
      </c>
      <c r="L1090">
        <v>76832.740000000005</v>
      </c>
      <c r="M1090">
        <v>50842.04</v>
      </c>
      <c r="N1090">
        <v>11.99</v>
      </c>
      <c r="O1090">
        <v>5.3409999999999999E-2</v>
      </c>
      <c r="P1090">
        <v>2.67</v>
      </c>
      <c r="Q1090">
        <v>134.76</v>
      </c>
      <c r="R1090">
        <v>33.795000000000002</v>
      </c>
      <c r="S1090">
        <v>145.15</v>
      </c>
    </row>
    <row r="1091" spans="1:19" x14ac:dyDescent="0.3">
      <c r="A1091" s="2">
        <v>45448</v>
      </c>
      <c r="B1091">
        <v>76.97</v>
      </c>
      <c r="C1091">
        <v>98.19</v>
      </c>
      <c r="D1091">
        <v>110.11</v>
      </c>
      <c r="E1091">
        <v>109.62</v>
      </c>
      <c r="F1091">
        <v>111.73</v>
      </c>
      <c r="G1091">
        <v>74.069999999999993</v>
      </c>
      <c r="H1091">
        <v>78.040000000000006</v>
      </c>
      <c r="I1091">
        <v>78.87</v>
      </c>
      <c r="J1091">
        <v>113.12</v>
      </c>
      <c r="K1091">
        <v>38.049999999999997</v>
      </c>
      <c r="L1091">
        <v>76829.13</v>
      </c>
      <c r="M1091">
        <v>51970.59</v>
      </c>
      <c r="N1091">
        <v>11.97</v>
      </c>
      <c r="O1091">
        <v>5.28E-2</v>
      </c>
      <c r="P1091">
        <v>2.8279999999999998</v>
      </c>
      <c r="Q1091">
        <v>135.34</v>
      </c>
      <c r="R1091">
        <v>33.354999999999997</v>
      </c>
      <c r="S1091">
        <v>156.94999999999999</v>
      </c>
    </row>
    <row r="1092" spans="1:19" x14ac:dyDescent="0.3">
      <c r="A1092" s="2">
        <v>45449</v>
      </c>
      <c r="B1092">
        <v>76.97</v>
      </c>
      <c r="C1092">
        <v>98.19</v>
      </c>
      <c r="D1092">
        <v>110.11</v>
      </c>
      <c r="E1092">
        <v>109.62</v>
      </c>
      <c r="F1092">
        <v>111.73</v>
      </c>
      <c r="G1092">
        <v>75.55</v>
      </c>
      <c r="H1092">
        <v>79.5</v>
      </c>
      <c r="I1092">
        <v>80.010000000000005</v>
      </c>
      <c r="J1092">
        <v>113.97</v>
      </c>
      <c r="K1092">
        <v>39.25</v>
      </c>
      <c r="L1092">
        <v>77123.64</v>
      </c>
      <c r="M1092">
        <v>52735.64</v>
      </c>
      <c r="N1092">
        <v>11.984999999999999</v>
      </c>
      <c r="O1092">
        <v>5.2699999999999997E-2</v>
      </c>
      <c r="P1092">
        <v>2.8919999999999999</v>
      </c>
      <c r="Q1092">
        <v>134.86000000000001</v>
      </c>
      <c r="R1092">
        <v>33.685000000000002</v>
      </c>
      <c r="S1092">
        <v>162.55000000000001</v>
      </c>
    </row>
    <row r="1093" spans="1:19" x14ac:dyDescent="0.3">
      <c r="A1093" s="2">
        <v>45450</v>
      </c>
      <c r="B1093">
        <v>76.13</v>
      </c>
      <c r="C1093">
        <v>96.98</v>
      </c>
      <c r="D1093">
        <v>108.91</v>
      </c>
      <c r="E1093">
        <v>109.62</v>
      </c>
      <c r="F1093">
        <v>112.64</v>
      </c>
      <c r="G1093">
        <v>75.53</v>
      </c>
      <c r="H1093">
        <v>79.34</v>
      </c>
      <c r="I1093">
        <v>79.790000000000006</v>
      </c>
      <c r="J1093">
        <v>112.75</v>
      </c>
      <c r="K1093">
        <v>39.799999999999997</v>
      </c>
      <c r="L1093">
        <v>76851.78</v>
      </c>
      <c r="M1093">
        <v>51250.81</v>
      </c>
      <c r="N1093">
        <v>11.97</v>
      </c>
      <c r="O1093">
        <v>5.2979999999999999E-2</v>
      </c>
      <c r="P1093">
        <v>2.996</v>
      </c>
      <c r="Q1093">
        <v>133.79</v>
      </c>
      <c r="R1093">
        <v>33.109000000000002</v>
      </c>
      <c r="S1093">
        <v>163.5</v>
      </c>
    </row>
    <row r="1094" spans="1:19" x14ac:dyDescent="0.3">
      <c r="A1094" s="2">
        <v>45453</v>
      </c>
      <c r="B1094">
        <v>76.13</v>
      </c>
      <c r="C1094">
        <v>96.98</v>
      </c>
      <c r="D1094">
        <v>108.91</v>
      </c>
      <c r="E1094">
        <v>107.81</v>
      </c>
      <c r="F1094">
        <v>112.64</v>
      </c>
      <c r="G1094">
        <v>77.739999999999995</v>
      </c>
      <c r="H1094">
        <v>81.23</v>
      </c>
      <c r="I1094">
        <v>81.260000000000005</v>
      </c>
      <c r="J1094">
        <v>113.08</v>
      </c>
      <c r="K1094">
        <v>21.274702495201531</v>
      </c>
      <c r="L1094">
        <v>76188.160000000003</v>
      </c>
      <c r="M1094">
        <v>50440.12</v>
      </c>
      <c r="N1094">
        <v>11.965</v>
      </c>
      <c r="O1094">
        <v>5.3370000000000001E-2</v>
      </c>
      <c r="P1094">
        <v>2.9769999999999999</v>
      </c>
      <c r="Q1094">
        <v>133.88</v>
      </c>
      <c r="R1094">
        <v>34.26</v>
      </c>
      <c r="S1094">
        <v>165.43</v>
      </c>
    </row>
    <row r="1095" spans="1:19" x14ac:dyDescent="0.3">
      <c r="A1095" s="2">
        <v>45454</v>
      </c>
      <c r="B1095">
        <v>76.13</v>
      </c>
      <c r="C1095">
        <v>96.98</v>
      </c>
      <c r="D1095">
        <v>108.91</v>
      </c>
      <c r="E1095">
        <v>107.81</v>
      </c>
      <c r="F1095">
        <v>112.64</v>
      </c>
      <c r="G1095">
        <v>77.900000000000006</v>
      </c>
      <c r="H1095">
        <v>81.540000000000006</v>
      </c>
      <c r="I1095">
        <v>81.36</v>
      </c>
      <c r="J1095">
        <v>112.17</v>
      </c>
      <c r="K1095">
        <v>38.6</v>
      </c>
      <c r="L1095">
        <v>76077.3</v>
      </c>
      <c r="M1095">
        <v>49609.36</v>
      </c>
      <c r="N1095">
        <v>12</v>
      </c>
      <c r="O1095">
        <v>5.373E-2</v>
      </c>
      <c r="P1095">
        <v>3.1930000000000001</v>
      </c>
      <c r="Q1095">
        <v>134.59</v>
      </c>
      <c r="R1095">
        <v>34.284999999999997</v>
      </c>
      <c r="S1095">
        <v>168.68</v>
      </c>
    </row>
    <row r="1096" spans="1:19" x14ac:dyDescent="0.3">
      <c r="A1096" s="2">
        <v>45455</v>
      </c>
      <c r="B1096">
        <v>76.13</v>
      </c>
      <c r="C1096">
        <v>96.98</v>
      </c>
      <c r="D1096">
        <v>108.91</v>
      </c>
      <c r="E1096">
        <v>107.81</v>
      </c>
      <c r="F1096">
        <v>112.64</v>
      </c>
      <c r="G1096">
        <v>78.5</v>
      </c>
      <c r="H1096">
        <v>82.15</v>
      </c>
      <c r="I1096">
        <v>81.680000000000007</v>
      </c>
      <c r="J1096">
        <v>110.93</v>
      </c>
      <c r="K1096">
        <v>39.6</v>
      </c>
      <c r="L1096">
        <v>77050.8</v>
      </c>
      <c r="M1096">
        <v>50790.98</v>
      </c>
      <c r="N1096">
        <v>12.03</v>
      </c>
      <c r="O1096">
        <v>5.4379999999999998E-2</v>
      </c>
      <c r="P1096">
        <v>3.1219999999999999</v>
      </c>
      <c r="Q1096">
        <v>136.05000000000001</v>
      </c>
      <c r="R1096">
        <v>35.295000000000002</v>
      </c>
      <c r="S1096">
        <v>173.61</v>
      </c>
    </row>
    <row r="1097" spans="1:19" x14ac:dyDescent="0.3">
      <c r="A1097" s="2">
        <v>45456</v>
      </c>
      <c r="B1097">
        <v>76.13</v>
      </c>
      <c r="C1097">
        <v>96.98</v>
      </c>
      <c r="D1097">
        <v>108.91</v>
      </c>
      <c r="E1097">
        <v>107.81</v>
      </c>
      <c r="F1097">
        <v>112.64</v>
      </c>
      <c r="G1097">
        <v>78.62</v>
      </c>
      <c r="H1097">
        <v>82.3</v>
      </c>
      <c r="I1097">
        <v>81.599999999999994</v>
      </c>
      <c r="J1097">
        <v>110.04</v>
      </c>
      <c r="K1097">
        <v>39.6</v>
      </c>
      <c r="L1097">
        <v>76382.02</v>
      </c>
      <c r="M1097">
        <v>48107.39</v>
      </c>
      <c r="N1097">
        <v>12.095000000000001</v>
      </c>
      <c r="O1097">
        <v>5.4219999999999997E-2</v>
      </c>
      <c r="P1097">
        <v>3.0369999999999999</v>
      </c>
      <c r="Q1097">
        <v>135.26</v>
      </c>
      <c r="R1097">
        <v>35.725000000000001</v>
      </c>
      <c r="S1097">
        <v>178.25</v>
      </c>
    </row>
    <row r="1098" spans="1:19" x14ac:dyDescent="0.3">
      <c r="A1098" s="2">
        <v>45457</v>
      </c>
      <c r="B1098">
        <v>72.77</v>
      </c>
      <c r="C1098">
        <v>94.88</v>
      </c>
      <c r="D1098">
        <v>107.09</v>
      </c>
      <c r="E1098">
        <v>107.81</v>
      </c>
      <c r="F1098">
        <v>111.61</v>
      </c>
      <c r="G1098">
        <v>78.45</v>
      </c>
      <c r="H1098">
        <v>82.08</v>
      </c>
      <c r="I1098">
        <v>81.53</v>
      </c>
      <c r="J1098">
        <v>109.11</v>
      </c>
      <c r="K1098">
        <v>39.6</v>
      </c>
      <c r="L1098">
        <v>77053.78</v>
      </c>
      <c r="M1098">
        <v>47117.91</v>
      </c>
      <c r="N1098">
        <v>12.138</v>
      </c>
      <c r="O1098">
        <v>5.4440000000000002E-2</v>
      </c>
      <c r="P1098">
        <v>2.9630000000000001</v>
      </c>
      <c r="Q1098">
        <v>135.66999999999999</v>
      </c>
      <c r="R1098">
        <v>35.36</v>
      </c>
      <c r="S1098">
        <v>179.67</v>
      </c>
    </row>
    <row r="1099" spans="1:19" x14ac:dyDescent="0.3">
      <c r="A1099" s="2">
        <v>45460</v>
      </c>
      <c r="B1099">
        <v>72.77</v>
      </c>
      <c r="C1099">
        <v>94.88</v>
      </c>
      <c r="D1099">
        <v>107.09</v>
      </c>
      <c r="E1099">
        <v>106.83</v>
      </c>
      <c r="F1099">
        <v>111.61</v>
      </c>
      <c r="G1099">
        <v>80.33</v>
      </c>
      <c r="H1099">
        <v>84.25</v>
      </c>
      <c r="I1099">
        <v>82.15</v>
      </c>
      <c r="J1099">
        <v>108.36</v>
      </c>
      <c r="K1099">
        <v>38.75</v>
      </c>
      <c r="L1099">
        <v>68736.904810964072</v>
      </c>
      <c r="M1099">
        <v>52972.178374291107</v>
      </c>
      <c r="N1099">
        <v>12.574999999999999</v>
      </c>
      <c r="O1099">
        <v>5.4760000000000003E-2</v>
      </c>
      <c r="P1099">
        <v>2.7879999999999998</v>
      </c>
      <c r="Q1099">
        <v>136.19999999999999</v>
      </c>
      <c r="R1099">
        <v>34.21</v>
      </c>
      <c r="S1099">
        <v>141.61602674307539</v>
      </c>
    </row>
    <row r="1100" spans="1:19" x14ac:dyDescent="0.3">
      <c r="A1100" s="2">
        <v>45461</v>
      </c>
      <c r="B1100">
        <v>72.77</v>
      </c>
      <c r="C1100">
        <v>94.88</v>
      </c>
      <c r="D1100">
        <v>107.09</v>
      </c>
      <c r="E1100">
        <v>106.83</v>
      </c>
      <c r="F1100">
        <v>111.61</v>
      </c>
      <c r="G1100">
        <v>81.569999999999993</v>
      </c>
      <c r="H1100">
        <v>85.33</v>
      </c>
      <c r="I1100">
        <v>82.49</v>
      </c>
      <c r="J1100">
        <v>109.38</v>
      </c>
      <c r="K1100">
        <v>38.9</v>
      </c>
      <c r="L1100">
        <v>79748.83</v>
      </c>
      <c r="M1100">
        <v>47877.32</v>
      </c>
      <c r="N1100">
        <v>12.6</v>
      </c>
      <c r="O1100">
        <v>5.5410000000000001E-2</v>
      </c>
      <c r="P1100">
        <v>2.9089999999999998</v>
      </c>
      <c r="Q1100">
        <v>136.38</v>
      </c>
      <c r="R1100">
        <v>34.700000000000003</v>
      </c>
      <c r="S1100">
        <v>185.87</v>
      </c>
    </row>
    <row r="1101" spans="1:19" x14ac:dyDescent="0.3">
      <c r="A1101" s="2">
        <v>45462</v>
      </c>
      <c r="B1101">
        <v>72.77</v>
      </c>
      <c r="C1101">
        <v>94.88</v>
      </c>
      <c r="D1101">
        <v>107.09</v>
      </c>
      <c r="E1101">
        <v>106.83</v>
      </c>
      <c r="F1101">
        <v>111.61</v>
      </c>
      <c r="G1101">
        <v>80.59</v>
      </c>
      <c r="H1101">
        <v>85.07</v>
      </c>
      <c r="I1101">
        <v>74.752492970946577</v>
      </c>
      <c r="J1101">
        <v>80.871012183692585</v>
      </c>
      <c r="K1101">
        <v>39.9</v>
      </c>
      <c r="L1101">
        <v>80713.72</v>
      </c>
      <c r="M1101">
        <v>49306.879999999997</v>
      </c>
      <c r="N1101">
        <v>17.62252908067542</v>
      </c>
      <c r="O1101">
        <v>5.5629999999999999E-2</v>
      </c>
      <c r="P1101">
        <v>2.9159999999999999</v>
      </c>
      <c r="Q1101">
        <v>112.7561105904405</v>
      </c>
      <c r="R1101">
        <v>35.35</v>
      </c>
      <c r="S1101">
        <v>181.25</v>
      </c>
    </row>
    <row r="1102" spans="1:19" x14ac:dyDescent="0.3">
      <c r="A1102" s="2">
        <v>45463</v>
      </c>
      <c r="B1102">
        <v>72.77</v>
      </c>
      <c r="C1102">
        <v>94.88</v>
      </c>
      <c r="D1102">
        <v>107.09</v>
      </c>
      <c r="E1102">
        <v>106.83</v>
      </c>
      <c r="F1102">
        <v>111.61</v>
      </c>
      <c r="G1102">
        <v>82.17</v>
      </c>
      <c r="H1102">
        <v>85.71</v>
      </c>
      <c r="I1102">
        <v>82.57</v>
      </c>
      <c r="J1102">
        <v>111.74</v>
      </c>
      <c r="K1102">
        <v>40.299999999999997</v>
      </c>
      <c r="L1102">
        <v>80073.05</v>
      </c>
      <c r="M1102">
        <v>50006.26</v>
      </c>
      <c r="N1102">
        <v>12.6</v>
      </c>
      <c r="O1102">
        <v>5.5599999999999997E-2</v>
      </c>
      <c r="P1102">
        <v>2.7410000000000001</v>
      </c>
      <c r="Q1102">
        <v>137.11000000000001</v>
      </c>
      <c r="R1102">
        <v>34.465000000000003</v>
      </c>
      <c r="S1102">
        <v>180.99</v>
      </c>
    </row>
    <row r="1103" spans="1:19" x14ac:dyDescent="0.3">
      <c r="A1103" s="2">
        <v>45464</v>
      </c>
      <c r="B1103">
        <v>73.3</v>
      </c>
      <c r="C1103">
        <v>94.56</v>
      </c>
      <c r="D1103">
        <v>107.31</v>
      </c>
      <c r="E1103">
        <v>106.83</v>
      </c>
      <c r="F1103">
        <v>111.2</v>
      </c>
      <c r="G1103">
        <v>80.73</v>
      </c>
      <c r="H1103">
        <v>85.24</v>
      </c>
      <c r="I1103">
        <v>82.42</v>
      </c>
      <c r="J1103">
        <v>110.76</v>
      </c>
      <c r="K1103">
        <v>39.549999999999997</v>
      </c>
      <c r="L1103">
        <v>79767.56</v>
      </c>
      <c r="M1103">
        <v>50079.71</v>
      </c>
      <c r="N1103">
        <v>12.465</v>
      </c>
      <c r="O1103">
        <v>5.5620000000000003E-2</v>
      </c>
      <c r="P1103">
        <v>2.7050000000000001</v>
      </c>
      <c r="Q1103">
        <v>137.84</v>
      </c>
      <c r="R1103">
        <v>33.936</v>
      </c>
      <c r="S1103">
        <v>181.76</v>
      </c>
    </row>
    <row r="1104" spans="1:19" x14ac:dyDescent="0.3">
      <c r="A1104" s="2">
        <v>45467</v>
      </c>
      <c r="B1104">
        <v>73.3</v>
      </c>
      <c r="C1104">
        <v>94.56</v>
      </c>
      <c r="D1104">
        <v>107.31</v>
      </c>
      <c r="E1104">
        <v>106.22</v>
      </c>
      <c r="F1104">
        <v>111.2</v>
      </c>
      <c r="G1104">
        <v>81.63</v>
      </c>
      <c r="H1104">
        <v>86.01</v>
      </c>
      <c r="I1104">
        <v>82.6</v>
      </c>
      <c r="J1104">
        <v>114.05</v>
      </c>
      <c r="K1104">
        <v>39.549999999999997</v>
      </c>
      <c r="L1104">
        <v>80263.14</v>
      </c>
      <c r="M1104">
        <v>51492.93</v>
      </c>
      <c r="N1104">
        <v>12.61</v>
      </c>
      <c r="O1104">
        <v>5.5169999999999997E-2</v>
      </c>
      <c r="P1104">
        <v>2.8109999999999999</v>
      </c>
      <c r="Q1104">
        <v>138.72</v>
      </c>
      <c r="R1104">
        <v>34.08</v>
      </c>
      <c r="S1104">
        <v>182.69</v>
      </c>
    </row>
    <row r="1105" spans="1:19" x14ac:dyDescent="0.3">
      <c r="A1105" s="2">
        <v>45468</v>
      </c>
      <c r="B1105">
        <v>73.3</v>
      </c>
      <c r="C1105">
        <v>94.56</v>
      </c>
      <c r="D1105">
        <v>107.31</v>
      </c>
      <c r="E1105">
        <v>106.22</v>
      </c>
      <c r="F1105">
        <v>111.2</v>
      </c>
      <c r="G1105">
        <v>80.83</v>
      </c>
      <c r="H1105">
        <v>85.01</v>
      </c>
      <c r="I1105">
        <v>82.42</v>
      </c>
      <c r="J1105">
        <v>114.37</v>
      </c>
      <c r="K1105">
        <v>39.5</v>
      </c>
      <c r="L1105">
        <v>79577.570000000007</v>
      </c>
      <c r="M1105">
        <v>51015.62</v>
      </c>
      <c r="N1105">
        <v>12.734999999999999</v>
      </c>
      <c r="O1105">
        <v>5.4820000000000001E-2</v>
      </c>
      <c r="P1105">
        <v>2.7559999999999998</v>
      </c>
      <c r="Q1105">
        <v>137.33000000000001</v>
      </c>
      <c r="R1105">
        <v>34.854999999999997</v>
      </c>
      <c r="S1105">
        <v>179.47</v>
      </c>
    </row>
    <row r="1106" spans="1:19" x14ac:dyDescent="0.3">
      <c r="A1106" s="2">
        <v>45469</v>
      </c>
      <c r="B1106">
        <v>73.3</v>
      </c>
      <c r="C1106">
        <v>94.56</v>
      </c>
      <c r="D1106">
        <v>107.31</v>
      </c>
      <c r="E1106">
        <v>106.22</v>
      </c>
      <c r="F1106">
        <v>111.2</v>
      </c>
      <c r="G1106">
        <v>80.900000000000006</v>
      </c>
      <c r="H1106">
        <v>85.25</v>
      </c>
      <c r="I1106">
        <v>82.47</v>
      </c>
      <c r="J1106">
        <v>114.41</v>
      </c>
      <c r="K1106">
        <v>39.700000000000003</v>
      </c>
      <c r="L1106">
        <v>79252.39</v>
      </c>
      <c r="M1106">
        <v>50943.54</v>
      </c>
      <c r="N1106">
        <v>12.62</v>
      </c>
      <c r="O1106">
        <v>5.4969999999999998E-2</v>
      </c>
      <c r="P1106">
        <v>2.6280000000000001</v>
      </c>
      <c r="Q1106">
        <v>137.38999999999999</v>
      </c>
      <c r="R1106">
        <v>33.825000000000003</v>
      </c>
      <c r="S1106">
        <v>178.68</v>
      </c>
    </row>
    <row r="1107" spans="1:19" x14ac:dyDescent="0.3">
      <c r="A1107" s="2">
        <v>45470</v>
      </c>
      <c r="B1107">
        <v>73.3</v>
      </c>
      <c r="C1107">
        <v>94.56</v>
      </c>
      <c r="D1107">
        <v>107.31</v>
      </c>
      <c r="E1107">
        <v>106.22</v>
      </c>
      <c r="F1107">
        <v>111.2</v>
      </c>
      <c r="G1107">
        <v>81.739999999999995</v>
      </c>
      <c r="H1107">
        <v>86.39</v>
      </c>
      <c r="I1107">
        <v>82.49</v>
      </c>
      <c r="J1107">
        <v>114.9</v>
      </c>
      <c r="K1107">
        <v>35.15</v>
      </c>
      <c r="L1107">
        <v>78969.33</v>
      </c>
      <c r="M1107">
        <v>52018.94</v>
      </c>
      <c r="N1107">
        <v>12.66</v>
      </c>
      <c r="O1107">
        <v>5.4109999999999998E-2</v>
      </c>
      <c r="P1107">
        <v>2.6850000000000001</v>
      </c>
      <c r="Q1107">
        <v>137.47</v>
      </c>
      <c r="R1107">
        <v>34.564999999999998</v>
      </c>
      <c r="S1107">
        <v>179.83</v>
      </c>
    </row>
    <row r="1108" spans="1:19" x14ac:dyDescent="0.3">
      <c r="A1108" s="2">
        <v>45471</v>
      </c>
      <c r="B1108">
        <v>71.38</v>
      </c>
      <c r="C1108">
        <v>92.08</v>
      </c>
      <c r="D1108">
        <v>103.68</v>
      </c>
      <c r="E1108">
        <v>106.22</v>
      </c>
      <c r="F1108">
        <v>109.15</v>
      </c>
      <c r="G1108">
        <v>81.540000000000006</v>
      </c>
      <c r="H1108">
        <v>86.41</v>
      </c>
      <c r="I1108">
        <v>82.55</v>
      </c>
      <c r="J1108">
        <v>115.12</v>
      </c>
      <c r="K1108">
        <v>35.950000000000003</v>
      </c>
      <c r="L1108">
        <v>79707.11</v>
      </c>
      <c r="M1108">
        <v>51308.87</v>
      </c>
      <c r="N1108">
        <v>12.635</v>
      </c>
      <c r="O1108">
        <v>5.4949999999999999E-2</v>
      </c>
      <c r="P1108">
        <v>2.601</v>
      </c>
      <c r="Q1108">
        <v>136.88999999999999</v>
      </c>
      <c r="R1108">
        <v>34.479999999999997</v>
      </c>
      <c r="S1108">
        <v>180.54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abSelected="1" workbookViewId="0">
      <pane xSplit="1" topLeftCell="B1" activePane="topRight" state="frozen"/>
      <selection pane="topRight" activeCell="B12" sqref="B12"/>
    </sheetView>
  </sheetViews>
  <sheetFormatPr defaultRowHeight="14.4" x14ac:dyDescent="0.3"/>
  <cols>
    <col min="1" max="1" width="12.44140625" bestFit="1" customWidth="1"/>
    <col min="2" max="4" width="35.33203125" bestFit="1" customWidth="1"/>
    <col min="5" max="5" width="38.88671875" bestFit="1" customWidth="1"/>
    <col min="6" max="6" width="37.109375" bestFit="1" customWidth="1"/>
    <col min="7" max="7" width="12.6640625" bestFit="1" customWidth="1"/>
    <col min="8" max="8" width="14" bestFit="1" customWidth="1"/>
    <col min="9" max="9" width="20" bestFit="1" customWidth="1"/>
    <col min="10" max="10" width="16.109375" bestFit="1" customWidth="1"/>
    <col min="11" max="11" width="13.6640625" bestFit="1" customWidth="1"/>
    <col min="12" max="12" width="14.109375" bestFit="1" customWidth="1"/>
    <col min="13" max="13" width="12.6640625" bestFit="1" customWidth="1"/>
    <col min="14" max="14" width="36.33203125" bestFit="1" customWidth="1"/>
    <col min="15" max="15" width="14.109375" bestFit="1" customWidth="1"/>
    <col min="16" max="16" width="16.44140625" bestFit="1" customWidth="1"/>
    <col min="17" max="17" width="12.6640625" bestFit="1" customWidth="1"/>
    <col min="18" max="18" width="15.109375" bestFit="1" customWidth="1"/>
    <col min="19" max="19" width="23.109375" bestFit="1" customWidth="1"/>
  </cols>
  <sheetData>
    <row r="1" spans="1:19" ht="72" customHeight="1" thickTop="1" x14ac:dyDescent="0.4">
      <c r="A1" s="12" t="s">
        <v>19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4"/>
    </row>
    <row r="2" spans="1:19" ht="15.6" x14ac:dyDescent="0.3">
      <c r="A2" s="5" t="s">
        <v>20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4" t="s">
        <v>18</v>
      </c>
    </row>
    <row r="3" spans="1:19" ht="15.6" x14ac:dyDescent="0.3">
      <c r="A3" s="10" t="s">
        <v>21</v>
      </c>
      <c r="B3" s="6">
        <f>AVERAGE(cleaned_data!B2:B1108)</f>
        <v>87.95318352059931</v>
      </c>
      <c r="C3" s="6">
        <f>AVERAGE(cleaned_data!C2:C1108)</f>
        <v>113.35315543071157</v>
      </c>
      <c r="D3" s="6">
        <f>AVERAGE(cleaned_data!D2:D1108)</f>
        <v>134.97180711610505</v>
      </c>
      <c r="E3" s="6">
        <f>AVERAGE(cleaned_data!E2:E1108)</f>
        <v>144.35149446494461</v>
      </c>
      <c r="F3" s="6">
        <f>AVERAGE(cleaned_data!F2:F1108)</f>
        <v>123.75970973782782</v>
      </c>
      <c r="G3" s="6">
        <f>AVERAGE(cleaned_data!G2:G1108)</f>
        <v>72.345468607825282</v>
      </c>
      <c r="H3" s="6">
        <f>AVERAGE(cleaned_data!H2:H1108)</f>
        <v>76.283020072992585</v>
      </c>
      <c r="I3" s="6">
        <f>AVERAGE(cleaned_data!I2:I1108)</f>
        <v>74.752492970946633</v>
      </c>
      <c r="J3" s="6">
        <f>AVERAGE(cleaned_data!J2:J1108)</f>
        <v>80.871012183692642</v>
      </c>
      <c r="K3" s="6">
        <f>AVERAGE(cleaned_data!K2:K1108)</f>
        <v>21.274702495201527</v>
      </c>
      <c r="L3" s="6">
        <f>AVERAGE(cleaned_data!L2:L1108)</f>
        <v>68736.904810964072</v>
      </c>
      <c r="M3" s="6">
        <f>AVERAGE(cleaned_data!M2:M1108)</f>
        <v>52972.178374291114</v>
      </c>
      <c r="N3" s="6">
        <f>AVERAGE(cleaned_data!N2:N1108)</f>
        <v>17.622529080675438</v>
      </c>
      <c r="O3" s="6">
        <f>AVERAGE(cleaned_data!O2:O1108)</f>
        <v>5.994277326106591E-2</v>
      </c>
      <c r="P3" s="6">
        <f>AVERAGE(cleaned_data!P2:P1108)</f>
        <v>3.6979990900818982</v>
      </c>
      <c r="Q3" s="6">
        <f>AVERAGE(cleaned_data!Q2:Q1108)</f>
        <v>112.7561105904405</v>
      </c>
      <c r="R3" s="6">
        <f>AVERAGE(cleaned_data!R2:R1108)</f>
        <v>57.38485594795533</v>
      </c>
      <c r="S3" s="7">
        <f>AVERAGE(cleaned_data!S2:S1108)</f>
        <v>141.61602674307582</v>
      </c>
    </row>
    <row r="4" spans="1:19" ht="15.6" x14ac:dyDescent="0.3">
      <c r="A4" s="10" t="s">
        <v>22</v>
      </c>
      <c r="B4" s="6">
        <f>MEDIAN(cleaned_data!B2:B1108)</f>
        <v>77.81</v>
      </c>
      <c r="C4" s="6">
        <f>MEDIAN(cleaned_data!C2:C1108)</f>
        <v>97.28</v>
      </c>
      <c r="D4" s="6">
        <f>MEDIAN(cleaned_data!D2:D1108)</f>
        <v>110.94</v>
      </c>
      <c r="E4" s="6">
        <f>MEDIAN(cleaned_data!E2:E1108)</f>
        <v>115.63</v>
      </c>
      <c r="F4" s="6">
        <f>MEDIAN(cleaned_data!F2:F1108)</f>
        <v>111.68</v>
      </c>
      <c r="G4" s="6">
        <f>MEDIAN(cleaned_data!G2:G1108)</f>
        <v>75.569999999999993</v>
      </c>
      <c r="H4" s="6">
        <f>MEDIAN(cleaned_data!H2:H1108)</f>
        <v>79.67</v>
      </c>
      <c r="I4" s="6">
        <f>MEDIAN(cleaned_data!I2:I1108)</f>
        <v>78.180000000000007</v>
      </c>
      <c r="J4" s="6">
        <f>MEDIAN(cleaned_data!J2:J1108)</f>
        <v>84.81</v>
      </c>
      <c r="K4" s="6">
        <f>MEDIAN(cleaned_data!K2:K1108)</f>
        <v>21.85</v>
      </c>
      <c r="L4" s="6">
        <f>MEDIAN(cleaned_data!L2:L1108)</f>
        <v>69401.95</v>
      </c>
      <c r="M4" s="6">
        <f>MEDIAN(cleaned_data!M2:M1108)</f>
        <v>52972.178374291107</v>
      </c>
      <c r="N4" s="6">
        <f>MEDIAN(cleaned_data!N2:N1108)</f>
        <v>13.335000000000001</v>
      </c>
      <c r="O4" s="6">
        <f>MEDIAN(cleaned_data!O2:O1108)</f>
        <v>5.8720000000000001E-2</v>
      </c>
      <c r="P4" s="6">
        <f>MEDIAN(cleaned_data!P2:P1108)</f>
        <v>2.879</v>
      </c>
      <c r="Q4" s="6">
        <f>MEDIAN(cleaned_data!Q2:Q1108)</f>
        <v>112.42</v>
      </c>
      <c r="R4" s="6">
        <f>MEDIAN(cleaned_data!R2:R1108)</f>
        <v>36.78</v>
      </c>
      <c r="S4" s="7">
        <f>MEDIAN(cleaned_data!S2:S1108)</f>
        <v>141.61602674307539</v>
      </c>
    </row>
    <row r="5" spans="1:19" ht="15.6" x14ac:dyDescent="0.3">
      <c r="A5" s="10" t="s">
        <v>23</v>
      </c>
      <c r="B5" s="6">
        <f>_xlfn.MODE.SNGL(cleaned_data!B2:B1108)</f>
        <v>87.953183520599239</v>
      </c>
      <c r="C5" s="6">
        <f>_xlfn.MODE.SNGL(cleaned_data!C2:C1108)</f>
        <v>113.3531554307116</v>
      </c>
      <c r="D5" s="6">
        <f>_xlfn.MODE.SNGL(cleaned_data!D2:D1108)</f>
        <v>134.97180711610491</v>
      </c>
      <c r="E5" s="6">
        <f>_xlfn.MODE.SNGL(cleaned_data!E2:E1108)</f>
        <v>144.35149446494461</v>
      </c>
      <c r="F5" s="6">
        <f>_xlfn.MODE.SNGL(cleaned_data!F2:F1108)</f>
        <v>123.75970973782771</v>
      </c>
      <c r="G5" s="6">
        <f>_xlfn.MODE.SNGL(cleaned_data!G2:G1108)</f>
        <v>72.345468607825296</v>
      </c>
      <c r="H5" s="6">
        <f>_xlfn.MODE.SNGL(cleaned_data!H2:H1108)</f>
        <v>76.283020072992699</v>
      </c>
      <c r="I5" s="6">
        <f>_xlfn.MODE.SNGL(cleaned_data!I2:I1108)</f>
        <v>74.752492970946577</v>
      </c>
      <c r="J5" s="6">
        <f>_xlfn.MODE.SNGL(cleaned_data!J2:J1108)</f>
        <v>80.871012183692585</v>
      </c>
      <c r="K5" s="6">
        <f>_xlfn.MODE.SNGL(cleaned_data!K2:K1108)</f>
        <v>21.274702495201531</v>
      </c>
      <c r="L5" s="6">
        <f>_xlfn.MODE.SNGL(cleaned_data!L2:L1108)</f>
        <v>68736.904810964072</v>
      </c>
      <c r="M5" s="6">
        <f>_xlfn.MODE.SNGL(cleaned_data!M2:M1108)</f>
        <v>52972.178374291107</v>
      </c>
      <c r="N5" s="6">
        <f>_xlfn.MODE.SNGL(cleaned_data!N2:N1108)</f>
        <v>17.62252908067542</v>
      </c>
      <c r="O5" s="6">
        <f>_xlfn.MODE.SNGL(cleaned_data!O2:O1108)</f>
        <v>5.5059999999999998E-2</v>
      </c>
      <c r="P5" s="6">
        <f>_xlfn.MODE.SNGL(cleaned_data!P2:P1108)</f>
        <v>3.697999090081892</v>
      </c>
      <c r="Q5" s="6">
        <f>_xlfn.MODE.SNGL(cleaned_data!Q2:Q1108)</f>
        <v>112.7561105904405</v>
      </c>
      <c r="R5" s="6">
        <f>_xlfn.MODE.SNGL(cleaned_data!R2:R1108)</f>
        <v>57.384855947955387</v>
      </c>
      <c r="S5" s="7">
        <f>_xlfn.MODE.SNGL(cleaned_data!S2:S1108)</f>
        <v>141.61602674307539</v>
      </c>
    </row>
    <row r="6" spans="1:19" ht="15.6" x14ac:dyDescent="0.3">
      <c r="A6" s="10" t="s">
        <v>24</v>
      </c>
      <c r="B6" s="6">
        <f>_xlfn.VAR.S(cleaned_data!B2:B1108)</f>
        <v>2158.7151992549921</v>
      </c>
      <c r="C6" s="6">
        <f>_xlfn.VAR.S(cleaned_data!C2:C1108)</f>
        <v>3841.8677387578769</v>
      </c>
      <c r="D6" s="6">
        <f>_xlfn.VAR.S(cleaned_data!D2:D1108)</f>
        <v>5790.3286233384051</v>
      </c>
      <c r="E6" s="6">
        <f>_xlfn.VAR.S(cleaned_data!E2:E1108)</f>
        <v>6827.2879249357147</v>
      </c>
      <c r="F6" s="6">
        <f>_xlfn.VAR.S(cleaned_data!F2:F1108)</f>
        <v>3079.9173200813816</v>
      </c>
      <c r="G6" s="6">
        <f>_xlfn.VAR.S(cleaned_data!G2:G1108)</f>
        <v>421.51199333966332</v>
      </c>
      <c r="H6" s="6">
        <f>_xlfn.VAR.S(cleaned_data!H2:H1108)</f>
        <v>425.1792151026948</v>
      </c>
      <c r="I6" s="6">
        <f>_xlfn.VAR.S(cleaned_data!I2:I1108)</f>
        <v>405.28075114708935</v>
      </c>
      <c r="J6" s="6">
        <f>_xlfn.VAR.S(cleaned_data!J2:J1108)</f>
        <v>743.38432740219696</v>
      </c>
      <c r="K6" s="6">
        <f>_xlfn.VAR.S(cleaned_data!K2:K1108)</f>
        <v>35.441004663448631</v>
      </c>
      <c r="L6" s="6">
        <f>_xlfn.VAR.S(cleaned_data!L2:L1108)</f>
        <v>60078244.716960222</v>
      </c>
      <c r="M6" s="6">
        <f>_xlfn.VAR.S(cleaned_data!M2:M1108)</f>
        <v>47333784.64876464</v>
      </c>
      <c r="N6" s="6">
        <f>_xlfn.VAR.S(cleaned_data!N2:N1108)</f>
        <v>155.71871988752014</v>
      </c>
      <c r="O6" s="6">
        <f>_xlfn.VAR.S(cleaned_data!O2:O1108)</f>
        <v>3.6816091307494166E-5</v>
      </c>
      <c r="P6" s="6">
        <f>_xlfn.VAR.S(cleaned_data!P2:P1108)</f>
        <v>3.6642194584077972</v>
      </c>
      <c r="Q6" s="6">
        <f>_xlfn.VAR.S(cleaned_data!Q2:Q1108)</f>
        <v>181.68550593034612</v>
      </c>
      <c r="R6" s="6">
        <f>_xlfn.VAR.S(cleaned_data!R2:R1108)</f>
        <v>2764.2635510440186</v>
      </c>
      <c r="S6" s="7">
        <f>_xlfn.VAR.S(cleaned_data!S2:S1108)</f>
        <v>2772.8735664295973</v>
      </c>
    </row>
    <row r="7" spans="1:19" ht="15.6" x14ac:dyDescent="0.3">
      <c r="A7" s="10" t="s">
        <v>27</v>
      </c>
      <c r="B7" s="6">
        <f>_xlfn.STDEV.S(cleaned_data!B2:B1108)</f>
        <v>46.461975843209594</v>
      </c>
      <c r="C7" s="6">
        <f>_xlfn.STDEV.S(cleaned_data!C2:C1108)</f>
        <v>61.982801959558728</v>
      </c>
      <c r="D7" s="6">
        <f>_xlfn.STDEV.S(cleaned_data!D2:D1108)</f>
        <v>76.094208868601854</v>
      </c>
      <c r="E7" s="6">
        <f>_xlfn.STDEV.S(cleaned_data!E2:E1108)</f>
        <v>82.627404200638637</v>
      </c>
      <c r="F7" s="6">
        <f>_xlfn.STDEV.S(cleaned_data!F2:F1108)</f>
        <v>55.497002802686396</v>
      </c>
      <c r="G7" s="6">
        <f>_xlfn.STDEV.S(cleaned_data!G2:G1108)</f>
        <v>20.530757251978393</v>
      </c>
      <c r="H7" s="6">
        <f>_xlfn.STDEV.S(cleaned_data!H2:H1108)</f>
        <v>20.619874274657807</v>
      </c>
      <c r="I7" s="6">
        <f>_xlfn.STDEV.S(cleaned_data!I2:I1108)</f>
        <v>20.131585907401565</v>
      </c>
      <c r="J7" s="6">
        <f>_xlfn.STDEV.S(cleaned_data!J2:J1108)</f>
        <v>27.265075231918892</v>
      </c>
      <c r="K7" s="6">
        <f>_xlfn.STDEV.S(cleaned_data!K2:K1108)</f>
        <v>5.9532348066785197</v>
      </c>
      <c r="L7" s="6">
        <f>_xlfn.STDEV.S(cleaned_data!L2:L1108)</f>
        <v>7751.0157216303087</v>
      </c>
      <c r="M7" s="6">
        <f>_xlfn.STDEV.S(cleaned_data!M2:M1108)</f>
        <v>6879.9552795613899</v>
      </c>
      <c r="N7" s="6">
        <f>_xlfn.STDEV.S(cleaned_data!N2:N1108)</f>
        <v>12.478730700176206</v>
      </c>
      <c r="O7" s="6">
        <f>_xlfn.STDEV.S(cleaned_data!O2:O1108)</f>
        <v>6.0676264970327704E-3</v>
      </c>
      <c r="P7" s="6">
        <f>_xlfn.STDEV.S(cleaned_data!P2:P1108)</f>
        <v>1.9142151024395866</v>
      </c>
      <c r="Q7" s="6">
        <f>_xlfn.STDEV.S(cleaned_data!Q2:Q1108)</f>
        <v>13.479076597836594</v>
      </c>
      <c r="R7" s="6">
        <f>_xlfn.STDEV.S(cleaned_data!R2:R1108)</f>
        <v>52.576264141188453</v>
      </c>
      <c r="S7" s="7">
        <f>_xlfn.STDEV.S(cleaned_data!S2:S1108)</f>
        <v>52.658081682013417</v>
      </c>
    </row>
    <row r="8" spans="1:19" ht="15.6" x14ac:dyDescent="0.3">
      <c r="A8" s="10" t="s">
        <v>25</v>
      </c>
      <c r="B8" s="6">
        <f>SKEW(cleaned_data!B2:B1108)</f>
        <v>1.3365136207003185</v>
      </c>
      <c r="C8" s="6">
        <f>SKEW(cleaned_data!C2:C1108)</f>
        <v>1.2832731016814956</v>
      </c>
      <c r="D8" s="6">
        <f>SKEW(cleaned_data!D2:D1108)</f>
        <v>1.301122617217926</v>
      </c>
      <c r="E8" s="6">
        <f>SKEW(cleaned_data!E2:E1108)</f>
        <v>1.2828488163945566</v>
      </c>
      <c r="F8" s="6">
        <f>SKEW(cleaned_data!F2:F1108)</f>
        <v>0.87783136342182388</v>
      </c>
      <c r="G8" s="6">
        <f>SKEW(cleaned_data!G2:G1108)</f>
        <v>-0.53829192313318386</v>
      </c>
      <c r="H8" s="6">
        <f>SKEW(cleaned_data!H2:H1108)</f>
        <v>-0.43177869223582482</v>
      </c>
      <c r="I8" s="6">
        <f>SKEW(cleaned_data!I2:I1108)</f>
        <v>-0.57043914234075832</v>
      </c>
      <c r="J8" s="6">
        <f>SKEW(cleaned_data!J2:J1108)</f>
        <v>-0.21128149183092146</v>
      </c>
      <c r="K8" s="6">
        <f>SKEW(cleaned_data!K2:K1108)</f>
        <v>0.58310581713177212</v>
      </c>
      <c r="L8" s="6">
        <f>SKEW(cleaned_data!L2:L1108)</f>
        <v>-0.83951677692827531</v>
      </c>
      <c r="M8" s="6">
        <f>SKEW(cleaned_data!M2:M1108)</f>
        <v>0.29500298801096103</v>
      </c>
      <c r="N8" s="6">
        <f>SKEW(cleaned_data!N2:N1108)</f>
        <v>1.1048634156252328</v>
      </c>
      <c r="O8" s="6">
        <f>SKEW(cleaned_data!O2:O1108)</f>
        <v>0.34796340604399795</v>
      </c>
      <c r="P8" s="6">
        <f>SKEW(cleaned_data!P2:P1108)</f>
        <v>1.2645806197491014</v>
      </c>
      <c r="Q8" s="6">
        <f>SKEW(cleaned_data!Q2:Q1108)</f>
        <v>0.22710145448164371</v>
      </c>
      <c r="R8" s="6">
        <f>SKEW(cleaned_data!R2:R1108)</f>
        <v>1.7440026129442769</v>
      </c>
      <c r="S8" s="7">
        <f>SKEW(cleaned_data!S2:S1108)</f>
        <v>0.3817378223161787</v>
      </c>
    </row>
    <row r="9" spans="1:19" ht="16.2" thickBot="1" x14ac:dyDescent="0.35">
      <c r="A9" s="11" t="s">
        <v>26</v>
      </c>
      <c r="B9" s="8">
        <f>KURT(cleaned_data!B2:B1108)</f>
        <v>2.3030510979091257</v>
      </c>
      <c r="C9" s="8">
        <f>KURT(cleaned_data!C2:C1108)</f>
        <v>1.2779391183111088</v>
      </c>
      <c r="D9" s="8">
        <f>KURT(cleaned_data!D2:D1108)</f>
        <v>0.95095592596629297</v>
      </c>
      <c r="E9" s="8">
        <f>KURT(cleaned_data!E2:E1108)</f>
        <v>0.79649891326921507</v>
      </c>
      <c r="F9" s="8">
        <f>KURT(cleaned_data!F2:F1108)</f>
        <v>0.29208217601785069</v>
      </c>
      <c r="G9" s="8">
        <f>KURT(cleaned_data!G2:G1108)</f>
        <v>0.83600285584578327</v>
      </c>
      <c r="H9" s="8">
        <f>KURT(cleaned_data!H2:H1108)</f>
        <v>5.2527986947872307E-3</v>
      </c>
      <c r="I9" s="8">
        <f>KURT(cleaned_data!I2:I1108)</f>
        <v>7.2905810447670305E-2</v>
      </c>
      <c r="J9" s="8">
        <f>KURT(cleaned_data!J2:J1108)</f>
        <v>-1.4296076783122664</v>
      </c>
      <c r="K9" s="8">
        <f>KURT(cleaned_data!K2:K1108)</f>
        <v>0.20924260655577864</v>
      </c>
      <c r="L9" s="8">
        <f>KURT(cleaned_data!L2:L1108)</f>
        <v>1.3746346387222275E-2</v>
      </c>
      <c r="M9" s="8">
        <f>KURT(cleaned_data!M2:M1108)</f>
        <v>-0.24024051716488781</v>
      </c>
      <c r="N9" s="8">
        <f>KURT(cleaned_data!N2:N1108)</f>
        <v>0.93512192168937869</v>
      </c>
      <c r="O9" s="8">
        <f>KURT(cleaned_data!O2:O1108)</f>
        <v>-1.2171522692275707</v>
      </c>
      <c r="P9" s="8">
        <f>KURT(cleaned_data!P2:P1108)</f>
        <v>0.68699848215543602</v>
      </c>
      <c r="Q9" s="8">
        <f>KURT(cleaned_data!Q2:Q1108)</f>
        <v>-0.79687296446219857</v>
      </c>
      <c r="R9" s="8">
        <f>KURT(cleaned_data!R2:R1108)</f>
        <v>3.3253586869215792</v>
      </c>
      <c r="S9" s="9">
        <f>KURT(cleaned_data!S2:S1108)</f>
        <v>7.5783137217403151E-2</v>
      </c>
    </row>
    <row r="10" spans="1:19" ht="15" thickTop="1" x14ac:dyDescent="0.3"/>
  </sheetData>
  <mergeCells count="1">
    <mergeCell ref="A1:S1"/>
  </mergeCells>
  <conditionalFormatting sqref="B3:S3">
    <cfRule type="colorScale" priority="7">
      <colorScale>
        <cfvo type="min"/>
        <cfvo type="max"/>
        <color theme="5" tint="0.79998168889431442"/>
        <color theme="5" tint="0.39997558519241921"/>
      </colorScale>
    </cfRule>
  </conditionalFormatting>
  <conditionalFormatting sqref="B4:S4">
    <cfRule type="colorScale" priority="6">
      <colorScale>
        <cfvo type="min"/>
        <cfvo type="max"/>
        <color theme="5" tint="0.79998168889431442"/>
        <color theme="5" tint="0.39997558519241921"/>
      </colorScale>
    </cfRule>
  </conditionalFormatting>
  <conditionalFormatting sqref="B5:S5">
    <cfRule type="colorScale" priority="5">
      <colorScale>
        <cfvo type="min"/>
        <cfvo type="max"/>
        <color theme="5" tint="0.79998168889431442"/>
        <color theme="5" tint="0.39997558519241921"/>
      </colorScale>
    </cfRule>
  </conditionalFormatting>
  <conditionalFormatting sqref="B6:S6">
    <cfRule type="colorScale" priority="4">
      <colorScale>
        <cfvo type="min"/>
        <cfvo type="max"/>
        <color theme="5" tint="0.79998168889431442"/>
        <color theme="5" tint="0.39997558519241921"/>
      </colorScale>
    </cfRule>
  </conditionalFormatting>
  <conditionalFormatting sqref="B7:S7">
    <cfRule type="colorScale" priority="3">
      <colorScale>
        <cfvo type="min"/>
        <cfvo type="max"/>
        <color theme="5" tint="0.79998168889431442"/>
        <color theme="5" tint="0.39997558519241921"/>
      </colorScale>
    </cfRule>
  </conditionalFormatting>
  <conditionalFormatting sqref="B8:S8">
    <cfRule type="colorScale" priority="2">
      <colorScale>
        <cfvo type="min"/>
        <cfvo type="max"/>
        <color theme="5" tint="0.79998168889431442"/>
        <color theme="5" tint="0.39997558519241921"/>
      </colorScale>
    </cfRule>
  </conditionalFormatting>
  <conditionalFormatting sqref="B9:S9">
    <cfRule type="colorScale" priority="1">
      <colorScale>
        <cfvo type="min"/>
        <cfvo type="max"/>
        <color theme="5" tint="0.79998168889431442"/>
        <color theme="5" tint="0.39997558519241921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eda_summary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Shailja Verma</cp:lastModifiedBy>
  <dcterms:created xsi:type="dcterms:W3CDTF">2025-10-24T15:25:11Z</dcterms:created>
  <dcterms:modified xsi:type="dcterms:W3CDTF">2025-10-28T16:10:23Z</dcterms:modified>
</cp:coreProperties>
</file>